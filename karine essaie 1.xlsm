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nat\Downloads\"/>
    </mc:Choice>
  </mc:AlternateContent>
  <xr:revisionPtr revIDLastSave="0" documentId="13_ncr:1_{C045B3AA-3AE3-4E72-95E4-19AD0596F022}" xr6:coauthVersionLast="47" xr6:coauthVersionMax="47" xr10:uidLastSave="{00000000-0000-0000-0000-000000000000}"/>
  <bookViews>
    <workbookView xWindow="-120" yWindow="-120" windowWidth="29040" windowHeight="15720" activeTab="12" xr2:uid="{7826F722-3C0B-48DC-B866-795F5C64A856}"/>
  </bookViews>
  <sheets>
    <sheet name="January" sheetId="2" r:id="rId1"/>
    <sheet name="February" sheetId="3" r:id="rId2"/>
    <sheet name="March" sheetId="4" r:id="rId3"/>
    <sheet name="April" sheetId="5" r:id="rId4"/>
    <sheet name="May" sheetId="6" r:id="rId5"/>
    <sheet name="June" sheetId="7" r:id="rId6"/>
    <sheet name="July" sheetId="8" r:id="rId7"/>
    <sheet name="August" sheetId="9" r:id="rId8"/>
    <sheet name="September" sheetId="10" r:id="rId9"/>
    <sheet name="October" sheetId="11" r:id="rId10"/>
    <sheet name="November" sheetId="12" r:id="rId11"/>
    <sheet name="December" sheetId="13" r:id="rId12"/>
    <sheet name="Full Year" sheetId="14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3" i="14" l="1"/>
  <c r="J53" i="14"/>
  <c r="K53" i="14"/>
  <c r="L53" i="14"/>
  <c r="M53" i="14"/>
  <c r="N53" i="14"/>
  <c r="E53" i="14"/>
  <c r="D53" i="14"/>
  <c r="C53" i="14"/>
  <c r="D7" i="14"/>
  <c r="D50" i="14"/>
  <c r="E50" i="14"/>
  <c r="F50" i="14"/>
  <c r="F53" i="14" s="1"/>
  <c r="G50" i="14"/>
  <c r="H50" i="14"/>
  <c r="H53" i="14" s="1"/>
  <c r="I50" i="14"/>
  <c r="J50" i="14"/>
  <c r="K50" i="14"/>
  <c r="L50" i="14"/>
  <c r="M50" i="14"/>
  <c r="N50" i="14"/>
  <c r="O50" i="14"/>
  <c r="C50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C44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C40" i="14"/>
  <c r="D11" i="14"/>
  <c r="G11" i="14"/>
  <c r="B11" i="14"/>
  <c r="B13" i="14"/>
  <c r="B12" i="14"/>
  <c r="B10" i="14"/>
  <c r="B9" i="14"/>
  <c r="B8" i="14"/>
  <c r="B6" i="14"/>
  <c r="B7" i="14"/>
  <c r="B5" i="14"/>
  <c r="B4" i="14"/>
  <c r="B2" i="14"/>
  <c r="B3" i="14"/>
  <c r="I31" i="14"/>
  <c r="I34" i="14" s="1"/>
  <c r="H31" i="14"/>
  <c r="H34" i="14" s="1"/>
  <c r="G31" i="14"/>
  <c r="G34" i="14" s="1"/>
  <c r="G53" i="14" s="1"/>
  <c r="F31" i="14"/>
  <c r="F34" i="14" s="1"/>
  <c r="E31" i="14"/>
  <c r="E34" i="14" s="1"/>
  <c r="D31" i="14"/>
  <c r="D34" i="14" s="1"/>
  <c r="C31" i="14"/>
  <c r="C34" i="14" s="1"/>
  <c r="C2" i="14"/>
  <c r="J34" i="14"/>
  <c r="K34" i="14"/>
  <c r="L34" i="14"/>
  <c r="M34" i="14"/>
  <c r="N34" i="14"/>
  <c r="G4" i="14"/>
  <c r="D8" i="14"/>
  <c r="D5" i="14"/>
  <c r="G5" i="14"/>
  <c r="D3" i="14"/>
  <c r="C3" i="14"/>
  <c r="G2" i="14"/>
  <c r="F2" i="14"/>
  <c r="E2" i="14"/>
  <c r="D2" i="14"/>
  <c r="N49" i="6"/>
  <c r="G6" i="14" s="1"/>
  <c r="N3" i="6"/>
  <c r="N3" i="2"/>
  <c r="N3" i="7"/>
  <c r="N49" i="7"/>
  <c r="G7" i="14" s="1"/>
  <c r="E47" i="6"/>
  <c r="N34" i="2"/>
  <c r="E34" i="2"/>
  <c r="E10" i="14"/>
  <c r="C9" i="14"/>
  <c r="N26" i="13"/>
  <c r="G13" i="14" s="1"/>
  <c r="E26" i="13"/>
  <c r="D13" i="14" s="1"/>
  <c r="K16" i="13"/>
  <c r="F13" i="14" s="1"/>
  <c r="H16" i="13"/>
  <c r="E13" i="14" s="1"/>
  <c r="B16" i="13"/>
  <c r="C13" i="14" s="1"/>
  <c r="N3" i="13"/>
  <c r="K3" i="13"/>
  <c r="H3" i="13"/>
  <c r="E3" i="13"/>
  <c r="B3" i="13"/>
  <c r="B6" i="13" s="1"/>
  <c r="N26" i="12"/>
  <c r="G12" i="14" s="1"/>
  <c r="E26" i="12"/>
  <c r="D12" i="14" s="1"/>
  <c r="K16" i="12"/>
  <c r="F12" i="14" s="1"/>
  <c r="H16" i="12"/>
  <c r="E12" i="14" s="1"/>
  <c r="B16" i="12"/>
  <c r="C12" i="14" s="1"/>
  <c r="N3" i="12"/>
  <c r="K3" i="12"/>
  <c r="H3" i="12"/>
  <c r="E3" i="12"/>
  <c r="B3" i="12"/>
  <c r="B6" i="12" s="1"/>
  <c r="N26" i="11"/>
  <c r="E26" i="11"/>
  <c r="K16" i="11"/>
  <c r="F11" i="14" s="1"/>
  <c r="H16" i="11"/>
  <c r="E11" i="14" s="1"/>
  <c r="B16" i="11"/>
  <c r="C11" i="14" s="1"/>
  <c r="N3" i="11"/>
  <c r="K3" i="11"/>
  <c r="H3" i="11"/>
  <c r="E3" i="11"/>
  <c r="B3" i="11"/>
  <c r="B6" i="11" s="1"/>
  <c r="N26" i="10"/>
  <c r="G10" i="14" s="1"/>
  <c r="E26" i="10"/>
  <c r="D10" i="14" s="1"/>
  <c r="K16" i="10"/>
  <c r="F10" i="14" s="1"/>
  <c r="H16" i="10"/>
  <c r="B16" i="10"/>
  <c r="C10" i="14" s="1"/>
  <c r="N3" i="10"/>
  <c r="K3" i="10"/>
  <c r="B6" i="10" s="1"/>
  <c r="H3" i="10"/>
  <c r="E3" i="10"/>
  <c r="B3" i="10"/>
  <c r="N26" i="9"/>
  <c r="G9" i="14" s="1"/>
  <c r="E26" i="9"/>
  <c r="D9" i="14" s="1"/>
  <c r="K16" i="9"/>
  <c r="F9" i="14" s="1"/>
  <c r="H16" i="9"/>
  <c r="E9" i="14" s="1"/>
  <c r="B16" i="9"/>
  <c r="N3" i="9"/>
  <c r="K3" i="9"/>
  <c r="H3" i="9"/>
  <c r="E3" i="9"/>
  <c r="B6" i="9" s="1"/>
  <c r="B3" i="9"/>
  <c r="N26" i="8"/>
  <c r="G8" i="14" s="1"/>
  <c r="E25" i="8"/>
  <c r="K16" i="8"/>
  <c r="F8" i="14" s="1"/>
  <c r="H16" i="8"/>
  <c r="E8" i="14" s="1"/>
  <c r="B16" i="8"/>
  <c r="C8" i="14" s="1"/>
  <c r="N3" i="8"/>
  <c r="K3" i="8"/>
  <c r="H3" i="8"/>
  <c r="E3" i="8"/>
  <c r="B3" i="8"/>
  <c r="E27" i="7"/>
  <c r="K20" i="7"/>
  <c r="F7" i="14" s="1"/>
  <c r="H20" i="7"/>
  <c r="E7" i="14" s="1"/>
  <c r="B18" i="7"/>
  <c r="C7" i="14" s="1"/>
  <c r="K3" i="7"/>
  <c r="H3" i="7"/>
  <c r="E3" i="7"/>
  <c r="B3" i="7"/>
  <c r="K19" i="6"/>
  <c r="F6" i="14" s="1"/>
  <c r="H22" i="6"/>
  <c r="E6" i="14" s="1"/>
  <c r="B22" i="6"/>
  <c r="C6" i="14" s="1"/>
  <c r="K3" i="6"/>
  <c r="H3" i="6"/>
  <c r="E3" i="6"/>
  <c r="D6" i="14" s="1"/>
  <c r="B3" i="6"/>
  <c r="N57" i="5"/>
  <c r="E29" i="5"/>
  <c r="K16" i="5"/>
  <c r="F5" i="14" s="1"/>
  <c r="H16" i="5"/>
  <c r="E5" i="14" s="1"/>
  <c r="B16" i="5"/>
  <c r="C5" i="14" s="1"/>
  <c r="N3" i="5"/>
  <c r="K3" i="5"/>
  <c r="H3" i="5"/>
  <c r="E3" i="5"/>
  <c r="B3" i="5"/>
  <c r="N49" i="4"/>
  <c r="E50" i="4"/>
  <c r="D4" i="14" s="1"/>
  <c r="K20" i="4"/>
  <c r="H20" i="4"/>
  <c r="E4" i="14" s="1"/>
  <c r="B20" i="4"/>
  <c r="C4" i="14" s="1"/>
  <c r="N3" i="4"/>
  <c r="K3" i="4"/>
  <c r="F4" i="14" s="1"/>
  <c r="H3" i="4"/>
  <c r="E3" i="4"/>
  <c r="B3" i="4"/>
  <c r="N31" i="3"/>
  <c r="G3" i="14" s="1"/>
  <c r="E31" i="3"/>
  <c r="K16" i="3"/>
  <c r="F3" i="14" s="1"/>
  <c r="H16" i="3"/>
  <c r="E3" i="14" s="1"/>
  <c r="B16" i="3"/>
  <c r="N3" i="3"/>
  <c r="K3" i="3"/>
  <c r="H3" i="3"/>
  <c r="E3" i="3"/>
  <c r="B3" i="3"/>
  <c r="K16" i="2"/>
  <c r="H16" i="2"/>
  <c r="B16" i="2"/>
  <c r="K3" i="2"/>
  <c r="H3" i="2"/>
  <c r="E3" i="2"/>
  <c r="B3" i="2"/>
  <c r="B14" i="14" l="1"/>
  <c r="K25" i="14"/>
  <c r="G25" i="14"/>
  <c r="I25" i="14"/>
  <c r="E25" i="14"/>
  <c r="O34" i="14"/>
  <c r="H13" i="14"/>
  <c r="H12" i="14"/>
  <c r="B6" i="7"/>
  <c r="H7" i="14"/>
  <c r="E6" i="6"/>
  <c r="B6" i="6"/>
  <c r="H5" i="14"/>
  <c r="B6" i="5"/>
  <c r="B6" i="4"/>
  <c r="H4" i="14"/>
  <c r="B6" i="3"/>
  <c r="B6" i="2"/>
  <c r="H6" i="14"/>
  <c r="H3" i="14"/>
  <c r="H10" i="14"/>
  <c r="H9" i="14"/>
  <c r="H2" i="14"/>
  <c r="H11" i="14"/>
  <c r="E14" i="14"/>
  <c r="F14" i="14"/>
  <c r="D14" i="14"/>
  <c r="G14" i="14"/>
  <c r="B6" i="8"/>
  <c r="C14" i="14"/>
  <c r="H8" i="14"/>
  <c r="C25" i="14" l="1"/>
  <c r="O53" i="14"/>
  <c r="M25" i="14" s="1"/>
  <c r="H14" i="14"/>
</calcChain>
</file>

<file path=xl/sharedStrings.xml><?xml version="1.0" encoding="utf-8"?>
<sst xmlns="http://schemas.openxmlformats.org/spreadsheetml/2006/main" count="775" uniqueCount="247">
  <si>
    <t>Total Income</t>
  </si>
  <si>
    <t>Total Expenses</t>
  </si>
  <si>
    <t>Total Debt</t>
  </si>
  <si>
    <t>Total Savings</t>
  </si>
  <si>
    <t>Casual Spending</t>
  </si>
  <si>
    <t>Left Over (Net)</t>
  </si>
  <si>
    <t>Income</t>
  </si>
  <si>
    <t>Expenses / Bills</t>
  </si>
  <si>
    <t>Debt Payments</t>
  </si>
  <si>
    <t>Savings Accounts</t>
  </si>
  <si>
    <t>Category</t>
  </si>
  <si>
    <t>Actual ("€")</t>
  </si>
  <si>
    <t>Monthly Pay 1</t>
  </si>
  <si>
    <t>Monthly Pay 2</t>
  </si>
  <si>
    <t>Side Income</t>
  </si>
  <si>
    <t>Rent / Mortgage</t>
  </si>
  <si>
    <t>Electricity</t>
  </si>
  <si>
    <t>Internet / Phone</t>
  </si>
  <si>
    <t>Credit Card</t>
  </si>
  <si>
    <t>Car Loan</t>
  </si>
  <si>
    <t>Student Loan</t>
  </si>
  <si>
    <t>Emergency Fund</t>
  </si>
  <si>
    <t>Vacation Fund</t>
  </si>
  <si>
    <t>Investments</t>
  </si>
  <si>
    <t>Groceries</t>
  </si>
  <si>
    <t>Restaurants</t>
  </si>
  <si>
    <t>Shopping</t>
  </si>
  <si>
    <t>Total:</t>
  </si>
  <si>
    <t>Month</t>
  </si>
  <si>
    <t>Expenses (€)</t>
  </si>
  <si>
    <t>Debt (€)</t>
  </si>
  <si>
    <t>Savings (€)</t>
  </si>
  <si>
    <t>Casual (€)</t>
  </si>
  <si>
    <t>Net Balance (€)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</si>
  <si>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</si>
  <si>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</si>
  <si>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</si>
  <si>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</si>
  <si>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</si>
  <si>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</si>
  <si>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</si>
  <si>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</si>
  <si>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</si>
  <si>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</si>
  <si>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</si>
  <si>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</si>
  <si>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TOTALS</t>
  </si>
  <si>
    <t>Paye 30/06/26</t>
  </si>
  <si>
    <t>tiquets restau</t>
  </si>
  <si>
    <t>Audible</t>
  </si>
  <si>
    <t>amazon</t>
  </si>
  <si>
    <t>disney</t>
  </si>
  <si>
    <t>zooplus</t>
  </si>
  <si>
    <t>spicy writers</t>
  </si>
  <si>
    <t xml:space="preserve">essence </t>
  </si>
  <si>
    <t>paye</t>
  </si>
  <si>
    <t>Phone</t>
  </si>
  <si>
    <t>internet</t>
  </si>
  <si>
    <t xml:space="preserve">eau </t>
  </si>
  <si>
    <t>canal +</t>
  </si>
  <si>
    <t>revolut</t>
  </si>
  <si>
    <t>cotisation trim</t>
  </si>
  <si>
    <t>groupama</t>
  </si>
  <si>
    <t>appartement</t>
  </si>
  <si>
    <t>garage</t>
  </si>
  <si>
    <t>gaz</t>
  </si>
  <si>
    <t>msf</t>
  </si>
  <si>
    <t>livret A</t>
  </si>
  <si>
    <t>titi</t>
  </si>
  <si>
    <t>sumup mom</t>
  </si>
  <si>
    <t>la romana</t>
  </si>
  <si>
    <t>wero</t>
  </si>
  <si>
    <t>bonheur de l'asie</t>
  </si>
  <si>
    <t>sncf</t>
  </si>
  <si>
    <t>c,ridez photographe</t>
  </si>
  <si>
    <t xml:space="preserve">zooplus </t>
  </si>
  <si>
    <t xml:space="preserve">spotify </t>
  </si>
  <si>
    <t xml:space="preserve">total : </t>
  </si>
  <si>
    <t>simova</t>
  </si>
  <si>
    <t>cb ins</t>
  </si>
  <si>
    <t xml:space="preserve">restau </t>
  </si>
  <si>
    <t>parking</t>
  </si>
  <si>
    <t xml:space="preserve">audible </t>
  </si>
  <si>
    <t>carte grise</t>
  </si>
  <si>
    <t>minute thai</t>
  </si>
  <si>
    <t>homeService</t>
  </si>
  <si>
    <t>telephone</t>
  </si>
  <si>
    <t>fortuneo</t>
  </si>
  <si>
    <t>electricité</t>
  </si>
  <si>
    <t>loyer</t>
  </si>
  <si>
    <t>google</t>
  </si>
  <si>
    <t>sushi bons</t>
  </si>
  <si>
    <t>amazon credit</t>
  </si>
  <si>
    <t xml:space="preserve">amazon </t>
  </si>
  <si>
    <t>crypto</t>
  </si>
  <si>
    <t>courses + loisir</t>
  </si>
  <si>
    <t xml:space="preserve">titi </t>
  </si>
  <si>
    <t>eau</t>
  </si>
  <si>
    <t>sushis</t>
  </si>
  <si>
    <t>uber eat</t>
  </si>
  <si>
    <t>uber trip</t>
  </si>
  <si>
    <t>spotify</t>
  </si>
  <si>
    <t xml:space="preserve">google </t>
  </si>
  <si>
    <t>sushis bons</t>
  </si>
  <si>
    <t xml:space="preserve">pizza </t>
  </si>
  <si>
    <t>audible</t>
  </si>
  <si>
    <t>tiket restau</t>
  </si>
  <si>
    <t>courses/loisir</t>
  </si>
  <si>
    <t xml:space="preserve"> Phone</t>
  </si>
  <si>
    <t>sumup</t>
  </si>
  <si>
    <t>MSF</t>
  </si>
  <si>
    <t>total</t>
  </si>
  <si>
    <t>credit rembouresement</t>
  </si>
  <si>
    <t xml:space="preserve">internet </t>
  </si>
  <si>
    <t>boulage</t>
  </si>
  <si>
    <t>kebab</t>
  </si>
  <si>
    <t>courses</t>
  </si>
  <si>
    <t xml:space="preserve">uber trip </t>
  </si>
  <si>
    <t xml:space="preserve">cb </t>
  </si>
  <si>
    <t>hayy curl</t>
  </si>
  <si>
    <t>boucherie</t>
  </si>
  <si>
    <t>Axelera gt</t>
  </si>
  <si>
    <t>intermarché</t>
  </si>
  <si>
    <t>deph</t>
  </si>
  <si>
    <t xml:space="preserve">monique </t>
  </si>
  <si>
    <t xml:space="preserve">carte grise </t>
  </si>
  <si>
    <t>zaino- anniv tit</t>
  </si>
  <si>
    <t>orientalis maman</t>
  </si>
  <si>
    <t>jojo les bas bleus</t>
  </si>
  <si>
    <t>wero laura</t>
  </si>
  <si>
    <t xml:space="preserve">wero audrey </t>
  </si>
  <si>
    <t>google one</t>
  </si>
  <si>
    <t>alpes bureau</t>
  </si>
  <si>
    <t>ASF lancon</t>
  </si>
  <si>
    <t xml:space="preserve">courses u </t>
  </si>
  <si>
    <t>st gervais</t>
  </si>
  <si>
    <t>monnaie deph</t>
  </si>
  <si>
    <t xml:space="preserve">remb camille </t>
  </si>
  <si>
    <t>minute tai</t>
  </si>
  <si>
    <t>cb mira mira</t>
  </si>
  <si>
    <t>farmacie Espagne</t>
  </si>
  <si>
    <t>cb druni</t>
  </si>
  <si>
    <t>zara Espagne</t>
  </si>
  <si>
    <t>engie</t>
  </si>
  <si>
    <t>cot trimestre</t>
  </si>
  <si>
    <t xml:space="preserve">revolut </t>
  </si>
  <si>
    <t>decouvert</t>
  </si>
  <si>
    <t>tiquet restau</t>
  </si>
  <si>
    <t>cot trim</t>
  </si>
  <si>
    <t>home Serve</t>
  </si>
  <si>
    <t>square habitat</t>
  </si>
  <si>
    <t>caution</t>
  </si>
  <si>
    <t>casden</t>
  </si>
  <si>
    <t xml:space="preserve">fortuneo </t>
  </si>
  <si>
    <t xml:space="preserve">livret A </t>
  </si>
  <si>
    <t>titi croisière</t>
  </si>
  <si>
    <t xml:space="preserve">charcuterie </t>
  </si>
  <si>
    <t>eaux</t>
  </si>
  <si>
    <t>cb finanille</t>
  </si>
  <si>
    <t xml:space="preserve">retrait </t>
  </si>
  <si>
    <t>oupsss</t>
  </si>
  <si>
    <t xml:space="preserve">oupss </t>
  </si>
  <si>
    <t>drs fonds cpf</t>
  </si>
  <si>
    <t>kessak</t>
  </si>
  <si>
    <t xml:space="preserve">axelera gt </t>
  </si>
  <si>
    <t>kessas</t>
  </si>
  <si>
    <t>bebe 9</t>
  </si>
  <si>
    <t>irregularité</t>
  </si>
  <si>
    <t>evian</t>
  </si>
  <si>
    <t>glace</t>
  </si>
  <si>
    <t>cantine kayla</t>
  </si>
  <si>
    <t>inter allinges</t>
  </si>
  <si>
    <t>plouise</t>
  </si>
  <si>
    <t>house of cb</t>
  </si>
  <si>
    <t>sfr</t>
  </si>
  <si>
    <t>cosden</t>
  </si>
  <si>
    <t>croues/lopisir</t>
  </si>
  <si>
    <t>tit</t>
  </si>
  <si>
    <t>aliexpress</t>
  </si>
  <si>
    <t>oups</t>
  </si>
  <si>
    <t>upd</t>
  </si>
  <si>
    <t>pizza</t>
  </si>
  <si>
    <t>amazon prime</t>
  </si>
  <si>
    <t>lidl</t>
  </si>
  <si>
    <t>cb indigo</t>
  </si>
  <si>
    <t>chiken house</t>
  </si>
  <si>
    <t>margo ppayl</t>
  </si>
  <si>
    <t>gmt cb</t>
  </si>
  <si>
    <t xml:space="preserve">wero </t>
  </si>
  <si>
    <t>remb paypal</t>
  </si>
  <si>
    <t>total spend</t>
  </si>
  <si>
    <t>douche</t>
  </si>
  <si>
    <t>tikets restau</t>
  </si>
  <si>
    <t>imagerie medica</t>
  </si>
  <si>
    <t>MEUBLE</t>
  </si>
  <si>
    <t>CASDEN</t>
  </si>
  <si>
    <t>FORTUNEO</t>
  </si>
  <si>
    <t>RESTO KAYLA</t>
  </si>
  <si>
    <t>aliexpress 2</t>
  </si>
  <si>
    <t xml:space="preserve">sais pas </t>
  </si>
  <si>
    <t>autoroute</t>
  </si>
  <si>
    <t xml:space="preserve">saisa pas </t>
  </si>
  <si>
    <t>autoroute fin + repas</t>
  </si>
  <si>
    <t>carrefour</t>
  </si>
  <si>
    <t>gifi</t>
  </si>
  <si>
    <t>hayat</t>
  </si>
  <si>
    <t>carbu intermarché</t>
  </si>
  <si>
    <t xml:space="preserve">UPD </t>
  </si>
  <si>
    <t>REVOLUT</t>
  </si>
  <si>
    <t>courses centre</t>
  </si>
  <si>
    <t xml:space="preserve">meubre </t>
  </si>
  <si>
    <t>aliexpress robe</t>
  </si>
  <si>
    <t>use of savings</t>
  </si>
  <si>
    <t>tickets restau</t>
  </si>
  <si>
    <t>NET LEFT OVER</t>
  </si>
  <si>
    <t>SAVINGS ACCOUNTS</t>
  </si>
  <si>
    <t>DEBT PAYMENTS</t>
  </si>
  <si>
    <t>Total (YTD)</t>
  </si>
  <si>
    <t>Dec</t>
  </si>
  <si>
    <t>Nov</t>
  </si>
  <si>
    <t>Oct</t>
  </si>
  <si>
    <t>Sep</t>
  </si>
  <si>
    <t>Aug</t>
  </si>
  <si>
    <t>Jul</t>
  </si>
  <si>
    <t>Jun</t>
  </si>
  <si>
    <t>Apr</t>
  </si>
  <si>
    <t>Mar</t>
  </si>
  <si>
    <t>Feb</t>
  </si>
  <si>
    <t>Jan</t>
  </si>
  <si>
    <t>Budget Category</t>
  </si>
  <si>
    <t>INCOME Streams</t>
  </si>
  <si>
    <t>Net Cash Flow</t>
  </si>
  <si>
    <t>Yearly Casual</t>
  </si>
  <si>
    <t>Yearly Savings</t>
  </si>
  <si>
    <t>Yearly Debt</t>
  </si>
  <si>
    <t>Yearly Expenses</t>
  </si>
  <si>
    <t>Yearly Income</t>
  </si>
  <si>
    <t>ticket restau</t>
  </si>
  <si>
    <t>,</t>
  </si>
  <si>
    <t>Mis à dispo (€)</t>
  </si>
  <si>
    <t>Salaires</t>
  </si>
  <si>
    <t>restau</t>
  </si>
  <si>
    <t>depenses</t>
  </si>
  <si>
    <t>casu</t>
  </si>
  <si>
    <t>Fortuneo</t>
  </si>
  <si>
    <t>Casden</t>
  </si>
  <si>
    <t>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</si>
</sst>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#,##0.00\ &quot;€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i/>
      <u/>
      <sz val="24"/>
      <color theme="1"/>
      <name val="Calibri"/>
      <family val="2"/>
      <scheme val="minor"/>
    </font>
    <font>
      <b/>
      <i/>
      <u/>
      <sz val="24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09EE6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rgb="FFDC3939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rgb="FFAAE571"/>
        <bgColor indexed="64"/>
      </patternFill>
    </fill>
    <fill>
      <patternFill patternType="solid">
        <fgColor rgb="FFC189F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6373B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F2FF"/>
        <bgColor indexed="64"/>
      </patternFill>
    </fill>
    <fill>
      <patternFill patternType="solid">
        <fgColor rgb="FFF0E6FF"/>
        <bgColor indexed="64"/>
      </patternFill>
    </fill>
    <fill>
      <patternFill patternType="solid">
        <fgColor rgb="FFFFE6EB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rgb="FFE6F7E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/>
    <xf numFmtId="164" fontId="0" fillId="0" borderId="0" xfId="0" applyNumberFormat="1"/>
    <xf numFmtId="164" fontId="1" fillId="0" borderId="0" xfId="0" applyNumberFormat="1" applyFont="1"/>
    <xf numFmtId="0" fontId="0" fillId="2" borderId="0" xfId="0" applyFill="1"/>
    <xf numFmtId="0" fontId="1" fillId="2" borderId="0" xfId="0" applyFont="1" applyFill="1"/>
    <xf numFmtId="164" fontId="0" fillId="2" borderId="0" xfId="0" applyNumberFormat="1" applyFill="1"/>
    <xf numFmtId="0" fontId="0" fillId="4" borderId="0" xfId="0" applyFill="1"/>
    <xf numFmtId="0" fontId="1" fillId="4" borderId="0" xfId="0" applyFont="1" applyFill="1"/>
    <xf numFmtId="164" fontId="0" fillId="4" borderId="0" xfId="0" applyNumberFormat="1" applyFill="1"/>
    <xf numFmtId="0" fontId="0" fillId="5" borderId="0" xfId="0" applyFill="1"/>
    <xf numFmtId="0" fontId="1" fillId="5" borderId="0" xfId="0" applyFont="1" applyFill="1"/>
    <xf numFmtId="164" fontId="0" fillId="5" borderId="0" xfId="0" applyNumberFormat="1" applyFill="1"/>
    <xf numFmtId="0" fontId="0" fillId="6" borderId="0" xfId="0" applyFill="1"/>
    <xf numFmtId="0" fontId="1" fillId="6" borderId="0" xfId="0" applyFont="1" applyFill="1"/>
    <xf numFmtId="164" fontId="0" fillId="6" borderId="0" xfId="0" applyNumberFormat="1" applyFill="1"/>
    <xf numFmtId="0" fontId="0" fillId="7" borderId="0" xfId="0" applyFill="1"/>
    <xf numFmtId="0" fontId="1" fillId="7" borderId="0" xfId="0" applyFont="1" applyFill="1"/>
    <xf numFmtId="164" fontId="0" fillId="7" borderId="0" xfId="0" applyNumberFormat="1" applyFill="1"/>
    <xf numFmtId="0" fontId="2" fillId="3" borderId="0" xfId="0" applyFont="1" applyFill="1"/>
    <xf numFmtId="0" fontId="3" fillId="3" borderId="0" xfId="0" applyFont="1" applyFill="1"/>
    <xf numFmtId="164" fontId="2" fillId="3" borderId="0" xfId="0" applyNumberFormat="1" applyFont="1" applyFill="1"/>
    <xf numFmtId="0" fontId="4" fillId="3" borderId="0" xfId="0" applyFont="1" applyFill="1"/>
    <xf numFmtId="0" fontId="4" fillId="4" borderId="0" xfId="0" applyFont="1" applyFill="1"/>
    <xf numFmtId="0" fontId="4" fillId="6" borderId="0" xfId="0" applyFont="1" applyFill="1"/>
    <xf numFmtId="0" fontId="5" fillId="2" borderId="0" xfId="0" applyFont="1" applyFill="1"/>
    <xf numFmtId="0" fontId="5" fillId="5" borderId="0" xfId="0" applyFont="1" applyFill="1"/>
    <xf numFmtId="0" fontId="0" fillId="8" borderId="0" xfId="0" applyFill="1"/>
    <xf numFmtId="0" fontId="1" fillId="8" borderId="0" xfId="0" applyFont="1" applyFill="1"/>
    <xf numFmtId="164" fontId="0" fillId="8" borderId="0" xfId="0" applyNumberFormat="1" applyFill="1"/>
    <xf numFmtId="164" fontId="1" fillId="8" borderId="0" xfId="0" applyNumberFormat="1" applyFont="1" applyFill="1"/>
    <xf numFmtId="164" fontId="1" fillId="4" borderId="0" xfId="0" applyNumberFormat="1" applyFont="1" applyFill="1"/>
    <xf numFmtId="0" fontId="0" fillId="9" borderId="0" xfId="0" applyFill="1"/>
    <xf numFmtId="0" fontId="1" fillId="9" borderId="0" xfId="0" applyFont="1" applyFill="1"/>
    <xf numFmtId="164" fontId="0" fillId="9" borderId="0" xfId="0" applyNumberFormat="1" applyFill="1"/>
    <xf numFmtId="164" fontId="1" fillId="9" borderId="0" xfId="0" applyNumberFormat="1" applyFont="1" applyFill="1"/>
    <xf numFmtId="0" fontId="2" fillId="10" borderId="0" xfId="0" applyFont="1" applyFill="1"/>
    <xf numFmtId="0" fontId="3" fillId="10" borderId="0" xfId="0" applyFont="1" applyFill="1"/>
    <xf numFmtId="164" fontId="2" fillId="10" borderId="0" xfId="0" applyNumberFormat="1" applyFont="1" applyFill="1"/>
    <xf numFmtId="164" fontId="3" fillId="10" borderId="0" xfId="0" applyNumberFormat="1" applyFont="1" applyFill="1"/>
    <xf numFmtId="0" fontId="0" fillId="11" borderId="0" xfId="0" applyFill="1"/>
    <xf numFmtId="0" fontId="1" fillId="11" borderId="0" xfId="0" applyFont="1" applyFill="1"/>
    <xf numFmtId="164" fontId="0" fillId="11" borderId="0" xfId="0" applyNumberFormat="1" applyFill="1"/>
    <xf numFmtId="0" fontId="0" fillId="12" borderId="0" xfId="0" applyFill="1"/>
    <xf numFmtId="0" fontId="1" fillId="12" borderId="0" xfId="0" applyFont="1" applyFill="1"/>
    <xf numFmtId="164" fontId="0" fillId="12" borderId="0" xfId="0" applyNumberFormat="1" applyFill="1"/>
    <xf numFmtId="0" fontId="8" fillId="12" borderId="0" xfId="0" applyFont="1" applyFill="1"/>
    <xf numFmtId="0" fontId="9" fillId="12" borderId="0" xfId="0" applyFont="1" applyFill="1"/>
    <xf numFmtId="0" fontId="0" fillId="13" borderId="0" xfId="0" applyFill="1"/>
    <xf numFmtId="0" fontId="1" fillId="13" borderId="0" xfId="0" applyFont="1" applyFill="1"/>
    <xf numFmtId="164" fontId="0" fillId="13" borderId="0" xfId="0" applyNumberFormat="1" applyFill="1"/>
    <xf numFmtId="164" fontId="1" fillId="13" borderId="0" xfId="0" applyNumberFormat="1" applyFont="1" applyFill="1"/>
    <xf numFmtId="164" fontId="1" fillId="11" borderId="0" xfId="0" applyNumberFormat="1" applyFont="1" applyFill="1"/>
    <xf numFmtId="0" fontId="0" fillId="14" borderId="0" xfId="0" applyFill="1"/>
    <xf numFmtId="0" fontId="1" fillId="14" borderId="0" xfId="0" applyFont="1" applyFill="1"/>
    <xf numFmtId="164" fontId="0" fillId="14" borderId="0" xfId="0" applyNumberFormat="1" applyFill="1"/>
    <xf numFmtId="164" fontId="1" fillId="14" borderId="0" xfId="0" applyNumberFormat="1" applyFont="1" applyFill="1"/>
    <xf numFmtId="0" fontId="0" fillId="15" borderId="0" xfId="0" applyFill="1"/>
    <xf numFmtId="0" fontId="1" fillId="15" borderId="0" xfId="0" applyFont="1" applyFill="1"/>
    <xf numFmtId="164" fontId="0" fillId="15" borderId="0" xfId="0" applyNumberFormat="1" applyFill="1"/>
    <xf numFmtId="164" fontId="1" fillId="15" borderId="0" xfId="0" applyNumberFormat="1" applyFont="1" applyFill="1"/>
    <xf numFmtId="0" fontId="0" fillId="16" borderId="0" xfId="0" applyFill="1"/>
    <xf numFmtId="0" fontId="1" fillId="16" borderId="0" xfId="0" applyFont="1" applyFill="1"/>
    <xf numFmtId="164" fontId="0" fillId="16" borderId="0" xfId="0" applyNumberFormat="1" applyFill="1"/>
    <xf numFmtId="164" fontId="1" fillId="16" borderId="0" xfId="0" applyNumberFormat="1" applyFont="1" applyFill="1"/>
    <xf numFmtId="0" fontId="10" fillId="13" borderId="0" xfId="0" applyFont="1" applyFill="1"/>
    <xf numFmtId="0" fontId="10" fillId="11" borderId="0" xfId="0" applyFont="1" applyFill="1"/>
    <xf numFmtId="0" fontId="10" fillId="14" borderId="0" xfId="0" applyFont="1" applyFill="1"/>
    <xf numFmtId="0" fontId="10" fillId="15" borderId="0" xfId="0" applyFont="1" applyFill="1"/>
    <xf numFmtId="0" fontId="10" fillId="16" borderId="0" xfId="0" applyFont="1" applyFill="1"/>
    <xf numFmtId="0" fontId="0" fillId="17" borderId="0" xfId="0" applyFill="1"/>
    <xf numFmtId="0" fontId="1" fillId="17" borderId="0" xfId="0" applyFont="1" applyFill="1"/>
    <xf numFmtId="164" fontId="0" fillId="17" borderId="0" xfId="0" applyNumberFormat="1" applyFill="1"/>
    <xf numFmtId="164" fontId="1" fillId="17" borderId="0" xfId="0" applyNumberFormat="1" applyFont="1" applyFill="1"/>
    <xf numFmtId="0" fontId="0" fillId="18" borderId="0" xfId="0" applyFill="1"/>
    <xf numFmtId="0" fontId="1" fillId="18" borderId="0" xfId="0" applyFont="1" applyFill="1"/>
    <xf numFmtId="164" fontId="0" fillId="18" borderId="0" xfId="0" applyNumberFormat="1" applyFill="1"/>
    <xf numFmtId="164" fontId="1" fillId="18" borderId="0" xfId="0" applyNumberFormat="1" applyFont="1" applyFill="1"/>
    <xf numFmtId="164" fontId="1" fillId="2" borderId="0" xfId="0" applyNumberFormat="1" applyFont="1" applyFill="1"/>
    <xf numFmtId="0" fontId="0" fillId="19" borderId="0" xfId="0" applyFill="1"/>
    <xf numFmtId="0" fontId="1" fillId="19" borderId="0" xfId="0" applyFont="1" applyFill="1"/>
    <xf numFmtId="164" fontId="0" fillId="19" borderId="0" xfId="0" applyNumberFormat="1" applyFill="1"/>
    <xf numFmtId="164" fontId="1" fillId="19" borderId="0" xfId="0" applyNumberFormat="1" applyFont="1" applyFill="1"/>
    <xf numFmtId="0" fontId="5" fillId="8" borderId="0" xfId="0" applyFont="1" applyFill="1"/>
    <xf numFmtId="0" fontId="5" fillId="4" borderId="0" xfId="0" applyFont="1" applyFill="1"/>
    <xf numFmtId="0" fontId="5" fillId="9" borderId="0" xfId="0" applyFont="1" applyFill="1"/>
    <xf numFmtId="0" fontId="4" fillId="10" borderId="0" xfId="0" applyFont="1" applyFill="1"/>
    <xf numFmtId="0" fontId="5" fillId="11" borderId="0" xfId="0" applyFont="1" applyFill="1"/>
    <xf numFmtId="0" fontId="1" fillId="20" borderId="0" xfId="0" applyFont="1" applyFill="1"/>
    <xf numFmtId="164" fontId="0" fillId="20" borderId="0" xfId="0" applyNumberFormat="1" applyFill="1"/>
    <xf numFmtId="164" fontId="1" fillId="20" borderId="0" xfId="0" applyNumberFormat="1" applyFont="1" applyFill="1"/>
    <xf numFmtId="0" fontId="1" fillId="21" borderId="0" xfId="0" applyFont="1" applyFill="1"/>
    <xf numFmtId="164" fontId="0" fillId="21" borderId="0" xfId="0" applyNumberFormat="1" applyFill="1"/>
    <xf numFmtId="164" fontId="1" fillId="21" borderId="0" xfId="0" applyNumberFormat="1" applyFont="1" applyFill="1"/>
    <xf numFmtId="0" fontId="1" fillId="22" borderId="0" xfId="0" applyFont="1" applyFill="1"/>
    <xf numFmtId="164" fontId="0" fillId="22" borderId="0" xfId="0" applyNumberFormat="1" applyFill="1"/>
    <xf numFmtId="164" fontId="1" fillId="22" borderId="0" xfId="0" applyNumberFormat="1" applyFont="1" applyFill="1"/>
    <xf numFmtId="0" fontId="1" fillId="23" borderId="0" xfId="0" applyFont="1" applyFill="1"/>
    <xf numFmtId="164" fontId="0" fillId="23" borderId="0" xfId="0" applyNumberFormat="1" applyFill="1"/>
    <xf numFmtId="164" fontId="1" fillId="23" borderId="0" xfId="0" applyNumberFormat="1" applyFont="1" applyFill="1"/>
    <xf numFmtId="0" fontId="1" fillId="24" borderId="0" xfId="0" applyFont="1" applyFill="1"/>
    <xf numFmtId="0" fontId="1" fillId="25" borderId="0" xfId="0" applyFont="1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6" fillId="29" borderId="0" xfId="0" applyFont="1" applyFill="1"/>
    <xf numFmtId="0" fontId="1" fillId="30" borderId="0" xfId="0" applyFont="1" applyFill="1"/>
    <xf numFmtId="0" fontId="3" fillId="13" borderId="0" xfId="1" applyFont="1" applyFill="1"/>
    <xf numFmtId="0" fontId="2" fillId="17" borderId="0" xfId="0" applyFont="1" applyFill="1"/>
    <xf numFmtId="164" fontId="2" fillId="17" borderId="0" xfId="0" applyNumberFormat="1" applyFont="1" applyFill="1"/>
    <xf numFmtId="14" fontId="0" fillId="4" borderId="0" xfId="0" applyNumberFormat="1" applyFill="1"/>
    <xf numFmtId="0" fontId="0" fillId="31" borderId="0" xfId="0" applyFill="1"/>
    <xf numFmtId="0" fontId="1" fillId="31" borderId="0" xfId="0" applyFont="1" applyFill="1"/>
    <xf numFmtId="164" fontId="0" fillId="31" borderId="0" xfId="0" applyNumberFormat="1" applyFill="1"/>
    <xf numFmtId="164" fontId="1" fillId="31" borderId="0" xfId="0" applyNumberFormat="1" applyFont="1" applyFill="1"/>
    <xf numFmtId="0" fontId="0" fillId="32" borderId="0" xfId="0" applyFill="1"/>
    <xf numFmtId="0" fontId="1" fillId="32" borderId="0" xfId="0" applyFont="1" applyFill="1"/>
    <xf numFmtId="164" fontId="0" fillId="32" borderId="0" xfId="0" applyNumberFormat="1" applyFill="1"/>
    <xf numFmtId="164" fontId="1" fillId="32" borderId="0" xfId="0" applyNumberFormat="1" applyFont="1" applyFill="1"/>
    <xf numFmtId="0" fontId="0" fillId="20" borderId="0" xfId="0" applyFill="1"/>
    <xf numFmtId="0" fontId="0" fillId="33" borderId="0" xfId="0" applyFill="1"/>
    <xf numFmtId="0" fontId="1" fillId="33" borderId="0" xfId="0" applyFont="1" applyFill="1"/>
    <xf numFmtId="164" fontId="0" fillId="33" borderId="0" xfId="0" applyNumberFormat="1" applyFill="1"/>
    <xf numFmtId="164" fontId="1" fillId="33" borderId="0" xfId="0" applyNumberFormat="1" applyFont="1" applyFill="1"/>
    <xf numFmtId="0" fontId="0" fillId="34" borderId="0" xfId="0" applyFill="1"/>
    <xf numFmtId="0" fontId="1" fillId="34" borderId="0" xfId="0" applyFont="1" applyFill="1"/>
    <xf numFmtId="164" fontId="0" fillId="34" borderId="0" xfId="0" applyNumberFormat="1" applyFill="1"/>
    <xf numFmtId="164" fontId="1" fillId="34" borderId="0" xfId="0" applyNumberFormat="1" applyFont="1" applyFill="1"/>
    <xf numFmtId="14" fontId="0" fillId="31" borderId="0" xfId="0" applyNumberFormat="1" applyFill="1"/>
    <xf numFmtId="0" fontId="0" fillId="35" borderId="0" xfId="0" applyFill="1"/>
    <xf numFmtId="0" fontId="1" fillId="35" borderId="0" xfId="0" applyFont="1" applyFill="1"/>
    <xf numFmtId="164" fontId="0" fillId="35" borderId="0" xfId="0" applyNumberFormat="1" applyFill="1"/>
    <xf numFmtId="164" fontId="1" fillId="35" borderId="0" xfId="0" applyNumberFormat="1" applyFont="1" applyFill="1"/>
    <xf numFmtId="0" fontId="0" fillId="36" borderId="0" xfId="0" applyFill="1"/>
    <xf numFmtId="0" fontId="1" fillId="36" borderId="0" xfId="0" applyFont="1" applyFill="1"/>
    <xf numFmtId="164" fontId="0" fillId="36" borderId="0" xfId="0" applyNumberFormat="1" applyFill="1"/>
    <xf numFmtId="164" fontId="1" fillId="36" borderId="0" xfId="0" applyNumberFormat="1" applyFont="1" applyFill="1"/>
    <xf numFmtId="0" fontId="0" fillId="22" borderId="0" xfId="0" applyFill="1"/>
    <xf numFmtId="164" fontId="1" fillId="5" borderId="0" xfId="0" applyNumberFormat="1" applyFont="1" applyFill="1"/>
    <xf numFmtId="0" fontId="0" fillId="37" borderId="0" xfId="0" applyFill="1"/>
    <xf numFmtId="0" fontId="1" fillId="37" borderId="0" xfId="0" applyFont="1" applyFill="1"/>
    <xf numFmtId="164" fontId="0" fillId="37" borderId="0" xfId="0" applyNumberFormat="1" applyFill="1"/>
    <xf numFmtId="14" fontId="0" fillId="35" borderId="0" xfId="0" applyNumberFormat="1" applyFill="1"/>
    <xf numFmtId="164" fontId="1" fillId="37" borderId="0" xfId="0" applyNumberFormat="1" applyFont="1" applyFill="1"/>
    <xf numFmtId="0" fontId="5" fillId="35" borderId="0" xfId="0" applyFont="1" applyFill="1"/>
    <xf numFmtId="0" fontId="5" fillId="37" borderId="0" xfId="0" applyFont="1" applyFill="1"/>
    <xf numFmtId="0" fontId="5" fillId="22" borderId="0" xfId="0" applyFont="1" applyFill="1"/>
    <xf numFmtId="0" fontId="5" fillId="18" borderId="0" xfId="0" applyFont="1" applyFill="1"/>
    <xf numFmtId="0" fontId="11" fillId="34" borderId="0" xfId="0" applyFont="1" applyFill="1"/>
    <xf numFmtId="4" fontId="2" fillId="34" borderId="0" xfId="0" applyNumberFormat="1" applyFont="1" applyFill="1"/>
    <xf numFmtId="0" fontId="0" fillId="28" borderId="0" xfId="0" applyFill="1"/>
    <xf numFmtId="0" fontId="0" fillId="38" borderId="0" xfId="0" applyFill="1"/>
    <xf numFmtId="0" fontId="1" fillId="38" borderId="0" xfId="0" applyFont="1" applyFill="1"/>
    <xf numFmtId="164" fontId="0" fillId="38" borderId="0" xfId="0" applyNumberFormat="1" applyFill="1"/>
    <xf numFmtId="164" fontId="1" fillId="38" borderId="0" xfId="0" applyNumberFormat="1" applyFont="1" applyFill="1"/>
    <xf numFmtId="0" fontId="0" fillId="39" borderId="0" xfId="0" applyFill="1"/>
    <xf numFmtId="0" fontId="1" fillId="39" borderId="0" xfId="0" applyFont="1" applyFill="1"/>
    <xf numFmtId="164" fontId="0" fillId="39" borderId="0" xfId="0" applyNumberFormat="1" applyFill="1"/>
    <xf numFmtId="164" fontId="1" fillId="39" borderId="0" xfId="0" applyNumberFormat="1" applyFont="1" applyFill="1"/>
    <xf numFmtId="164" fontId="1" fillId="7" borderId="0" xfId="0" applyNumberFormat="1" applyFont="1" applyFill="1"/>
    <xf numFmtId="0" fontId="11" fillId="37" borderId="0" xfId="0" applyFont="1" applyFill="1"/>
    <xf numFmtId="0" fontId="12" fillId="37" borderId="0" xfId="0" applyFont="1" applyFill="1"/>
    <xf numFmtId="0" fontId="13" fillId="36" borderId="0" xfId="0" applyFont="1" applyFill="1"/>
    <xf numFmtId="0" fontId="14" fillId="31" borderId="0" xfId="0" applyFont="1" applyFill="1"/>
    <xf numFmtId="0" fontId="13" fillId="38" borderId="0" xfId="0" applyFont="1" applyFill="1"/>
    <xf numFmtId="0" fontId="13" fillId="39" borderId="0" xfId="0" applyFont="1" applyFill="1"/>
    <xf numFmtId="0" fontId="13" fillId="7" borderId="0" xfId="0" applyFont="1" applyFill="1"/>
    <xf numFmtId="4" fontId="0" fillId="37" borderId="0" xfId="0" applyNumberFormat="1" applyFill="1"/>
    <xf numFmtId="164" fontId="1" fillId="40" borderId="0" xfId="0" applyNumberFormat="1" applyFont="1" applyFill="1"/>
    <xf numFmtId="0" fontId="1" fillId="40" borderId="0" xfId="0" applyFont="1" applyFill="1"/>
    <xf numFmtId="164" fontId="1" fillId="41" borderId="0" xfId="0" applyNumberFormat="1" applyFont="1" applyFill="1"/>
    <xf numFmtId="164" fontId="1" fillId="42" borderId="0" xfId="0" applyNumberFormat="1" applyFont="1" applyFill="1"/>
    <xf numFmtId="0" fontId="1" fillId="42" borderId="0" xfId="0" applyFont="1" applyFill="1"/>
    <xf numFmtId="0" fontId="0" fillId="42" borderId="0" xfId="0" applyFill="1"/>
    <xf numFmtId="164" fontId="1" fillId="43" borderId="0" xfId="0" applyNumberFormat="1" applyFont="1" applyFill="1"/>
    <xf numFmtId="0" fontId="1" fillId="43" borderId="0" xfId="0" applyFont="1" applyFill="1"/>
    <xf numFmtId="0" fontId="0" fillId="43" borderId="0" xfId="0" applyFill="1"/>
    <xf numFmtId="164" fontId="1" fillId="44" borderId="0" xfId="0" applyNumberFormat="1" applyFont="1" applyFill="1"/>
    <xf numFmtId="0" fontId="1" fillId="44" borderId="0" xfId="0" applyFont="1" applyFill="1"/>
    <xf numFmtId="0" fontId="0" fillId="44" borderId="0" xfId="0" applyFill="1"/>
    <xf numFmtId="164" fontId="1" fillId="45" borderId="0" xfId="0" applyNumberFormat="1" applyFont="1" applyFill="1"/>
    <xf numFmtId="0" fontId="1" fillId="45" borderId="0" xfId="0" applyFont="1" applyFill="1"/>
    <xf numFmtId="0" fontId="1" fillId="45" borderId="0" xfId="0" applyFont="1" applyFill="1" applyAlignment="1">
      <alignment horizontal="center"/>
    </xf>
    <xf numFmtId="0" fontId="0" fillId="45" borderId="0" xfId="0" applyFill="1"/>
    <xf numFmtId="165" fontId="1" fillId="28" borderId="0" xfId="0" applyNumberFormat="1" applyFont="1" applyFill="1"/>
    <xf numFmtId="165" fontId="3" fillId="28" borderId="0" xfId="1" applyNumberFormat="1" applyFont="1" applyFill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Income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'Full Year'!$A$2:$A$13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'Full Year'!$B$2:$B$13</c:f>
              <c:numCache>
                <c:formatCode>#\ ##0.00\ "€"</c:formatCode>
                <c:ptCount val="12"/>
                <c:pt idx="0">
                  <c:v>2261</c:v>
                </c:pt>
                <c:pt idx="1">
                  <c:v>2458.52</c:v>
                </c:pt>
                <c:pt idx="2">
                  <c:v>2103.09</c:v>
                </c:pt>
                <c:pt idx="3">
                  <c:v>2109.79</c:v>
                </c:pt>
                <c:pt idx="4">
                  <c:v>2141.1799999999998</c:v>
                </c:pt>
                <c:pt idx="5">
                  <c:v>1293.3900000000001</c:v>
                </c:pt>
                <c:pt idx="6">
                  <c:v>2094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6B-4259-B26A-27ECBF7A0F2C}"/>
            </c:ext>
          </c:extLst>
        </c:ser>
        <c:ser>
          <c:idx val="1"/>
          <c:order val="1"/>
          <c:tx>
            <c:v>Expenses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'Full Year'!$D$2:$D$13</c:f>
              <c:numCache>
                <c:formatCode>#\ ##0.00\ \€</c:formatCode>
                <c:ptCount val="12"/>
                <c:pt idx="0">
                  <c:v>1079.2</c:v>
                </c:pt>
                <c:pt idx="1">
                  <c:v>1330.6900000000003</c:v>
                </c:pt>
                <c:pt idx="2">
                  <c:v>1331.68</c:v>
                </c:pt>
                <c:pt idx="3">
                  <c:v>605.22</c:v>
                </c:pt>
                <c:pt idx="4">
                  <c:v>499.78000000000003</c:v>
                </c:pt>
                <c:pt idx="5">
                  <c:v>522.74</c:v>
                </c:pt>
                <c:pt idx="6">
                  <c:v>446.95000000000005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66B-4259-B26A-27ECBF7A0F2C}"/>
            </c:ext>
          </c:extLst>
        </c:ser>
        <c:ser>
          <c:idx val="2"/>
          <c:order val="2"/>
          <c:tx>
            <c:v>savings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('Full Year'!$F$14,'Full Year'!$F$3,'Full Year'!$F$4,'Full Year'!$F$5,'Full Year'!$F$6,'Full Year'!$F$7,'Full Year'!$F$8)</c:f>
              <c:numCache>
                <c:formatCode>#\ ##0.00\ \€</c:formatCode>
                <c:ptCount val="7"/>
                <c:pt idx="0">
                  <c:v>2012</c:v>
                </c:pt>
                <c:pt idx="1">
                  <c:v>600</c:v>
                </c:pt>
                <c:pt idx="2">
                  <c:v>-320</c:v>
                </c:pt>
                <c:pt idx="3">
                  <c:v>831</c:v>
                </c:pt>
                <c:pt idx="4">
                  <c:v>100</c:v>
                </c:pt>
                <c:pt idx="5">
                  <c:v>-130</c:v>
                </c:pt>
                <c:pt idx="6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5-4402-BE2B-9F204768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06348144"/>
        <c:axId val="2094101072"/>
      </c:barChart>
      <c:catAx>
        <c:axId val="210634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94101072"/>
        <c:crosses val="autoZero"/>
        <c:auto val="1"/>
        <c:lblAlgn val="ctr"/>
        <c:lblOffset val="100"/>
        <c:noMultiLvlLbl val="0"/>
      </c:catAx>
      <c:valAx>
        <c:axId val="209410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634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Where My Money Went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537342519685041"/>
          <c:y val="0.12665637795275592"/>
          <c:w val="0.42411712598425194"/>
          <c:h val="0.67858740157480313"/>
        </c:manualLayout>
      </c:layout>
      <c:barChart>
        <c:barDir val="bar"/>
        <c:grouping val="clustered"/>
        <c:varyColors val="0"/>
        <c:ser>
          <c:idx val="1"/>
          <c:order val="1"/>
          <c:tx>
            <c:strRef>
              <c:f>'Full Year'!$D$1</c:f>
              <c:strCache>
                <c:ptCount val="1"/>
                <c:pt idx="0">
                  <c:v>Expenses (€)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'Full Year'!$D$14</c:f>
              <c:numCache>
                <c:formatCode>#\ ##0.00\ \€</c:formatCode>
                <c:ptCount val="1"/>
                <c:pt idx="0">
                  <c:v>5816.26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3D-4F37-9B1C-35E0E4E715FC}"/>
            </c:ext>
          </c:extLst>
        </c:ser>
        <c:ser>
          <c:idx val="2"/>
          <c:order val="2"/>
          <c:tx>
            <c:strRef>
              <c:f>'Full Year'!$E$1</c:f>
              <c:strCache>
                <c:ptCount val="1"/>
                <c:pt idx="0">
                  <c:v>Debt (€)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'Full Year'!$E$14</c:f>
              <c:numCache>
                <c:formatCode>#\ ##0.00\ \€</c:formatCode>
                <c:ptCount val="1"/>
                <c:pt idx="0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3D-4F37-9B1C-35E0E4E715FC}"/>
            </c:ext>
          </c:extLst>
        </c:ser>
        <c:ser>
          <c:idx val="3"/>
          <c:order val="3"/>
          <c:tx>
            <c:strRef>
              <c:f>'Full Year'!$F$1</c:f>
              <c:strCache>
                <c:ptCount val="1"/>
                <c:pt idx="0">
                  <c:v>Savings (€)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'Full Year'!$F$14</c:f>
              <c:numCache>
                <c:formatCode>#\ ##0.00\ \€</c:formatCode>
                <c:ptCount val="1"/>
                <c:pt idx="0">
                  <c:v>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3D-4F37-9B1C-35E0E4E715FC}"/>
            </c:ext>
          </c:extLst>
        </c:ser>
        <c:ser>
          <c:idx val="4"/>
          <c:order val="4"/>
          <c:tx>
            <c:strRef>
              <c:f>'Full Year'!$G$1</c:f>
              <c:strCache>
                <c:ptCount val="1"/>
                <c:pt idx="0">
                  <c:v>Casual (€)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'Full Year'!$G$14</c:f>
              <c:numCache>
                <c:formatCode>#\ ##0.00\ \€</c:formatCode>
                <c:ptCount val="1"/>
                <c:pt idx="0">
                  <c:v>7243.8899999999994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3D-4F37-9B1C-35E0E4E715FC}"/>
            </c:ext>
          </c:extLst>
        </c:ser>
        <c:ser>
          <c:idx val="5"/>
          <c:order val="5"/>
          <c:tx>
            <c:strRef>
              <c:f>'Full Year'!$H$1</c:f>
              <c:strCache>
                <c:ptCount val="1"/>
                <c:pt idx="0">
                  <c:v>Net Balance (€)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'Full Year'!$H$14</c:f>
              <c:numCache>
                <c:formatCode>#\ ##0.00\ \€</c:formatCode>
                <c:ptCount val="1"/>
                <c:pt idx="0">
                  <c:v>3042.7499999999995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3D-4F37-9B1C-35E0E4E715F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63565087"/>
        <c:axId val="24344913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dLbl>
                    <c:idx val="1"/>
                    <c:tx>
                      <c:rich>
                        <a:bodyPr/>
                        <a:lstStyle/>
                        <a:p>
                          <a:fld id="{C2712C32-6C26-44A3-AE27-B7A481CBC3EA}" type="CELLREF">
                            <a:rPr lang="en-US"/>
                            <a:pPr/>
                            <a:t>[REFCELL]</a:t>
                          </a:fld>
                          <a:r>
                            <a:rPr lang="en-US" baseline="0"/>
                            <a:t>
</a:t>
                          </a:r>
                          <a:fld id="{B0DD6EA1-F706-479A-9BE5-9336C8E5032A}" type="PERCENTAGE">
                            <a:rPr lang="en-US" baseline="0"/>
                            <a:pPr/>
                            <a:t>[POURCENTAGE]</a:t>
                          </a:fld>
                          <a:endParaRPr lang="en-US" baseline="0"/>
                        </a:p>
                      </c:rich>
                    </c:tx>
                    <c:dLblPos val="inEnd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>
                          <c15:dlblFTEntry>
                            <c15:txfldGUID>{C2712C32-6C26-44A3-AE27-B7A481CBC3EA}</c15:txfldGUID>
                            <c15:f>'Full Year'!$D$1</c15:f>
                            <c15:dlblFieldTableCache>
                              <c:ptCount val="1"/>
                              <c:pt idx="0">
                                <c:v>Expenses (€)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E53D-4F37-9B1C-35E0E4E715FC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6E4880EA-9F01-4086-9A41-8CA3AADA6F83}" type="CELLREF">
                            <a:rPr lang="en-US"/>
                            <a:pPr/>
                            <a:t>[REFCELL]</a:t>
                          </a:fld>
                          <a:r>
                            <a:rPr lang="en-US" baseline="0"/>
                            <a:t>
</a:t>
                          </a:r>
                          <a:fld id="{44F100CE-A73E-4102-99D2-9EE34790CA10}" type="PERCENTAGE">
                            <a:rPr lang="en-US" baseline="0"/>
                            <a:pPr/>
                            <a:t>[POURCENTAGE]</a:t>
                          </a:fld>
                          <a:endParaRPr lang="en-US" baseline="0"/>
                        </a:p>
                      </c:rich>
                    </c:tx>
                    <c:dLblPos val="inEnd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>
                          <c15:dlblFTEntry>
                            <c15:txfldGUID>{6E4880EA-9F01-4086-9A41-8CA3AADA6F83}</c15:txfldGUID>
                            <c15:f>'Full Year'!$E$1</c15:f>
                            <c15:dlblFieldTableCache>
                              <c:ptCount val="1"/>
                              <c:pt idx="0">
                                <c:v>Debt (€)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1-E53D-4F37-9B1C-35E0E4E715FC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AB0EB9D4-9043-4940-925F-05FF1ECD3DBD}" type="CELLREF">
                            <a:rPr lang="en-US"/>
                            <a:pPr/>
                            <a:t>[REFCELL]</a:t>
                          </a:fld>
                          <a:r>
                            <a:rPr lang="en-US" baseline="0"/>
                            <a:t>
</a:t>
                          </a:r>
                          <a:fld id="{54A29134-5CED-485E-897E-CEB0FF81835B}" type="PERCENTAGE">
                            <a:rPr lang="en-US" baseline="0"/>
                            <a:pPr/>
                            <a:t>[POURCENTAGE]</a:t>
                          </a:fld>
                          <a:endParaRPr lang="en-US" baseline="0"/>
                        </a:p>
                      </c:rich>
                    </c:tx>
                    <c:dLblPos val="inEnd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>
                          <c15:dlblFTEntry>
                            <c15:txfldGUID>{AB0EB9D4-9043-4940-925F-05FF1ECD3DBD}</c15:txfldGUID>
                            <c15:f>'Full Year'!$F$1</c15:f>
                            <c15:dlblFieldTableCache>
                              <c:ptCount val="1"/>
                              <c:pt idx="0">
                                <c:v>Savings (€)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E53D-4F37-9B1C-35E0E4E715FC}"/>
                      </c:ext>
                    </c:extLst>
                  </c:dLbl>
                  <c:dLbl>
                    <c:idx val="4"/>
                    <c:tx>
                      <c:rich>
                        <a:bodyPr/>
                        <a:lstStyle/>
                        <a:p>
                          <a:fld id="{21AFFAE2-F39D-4B91-A3E5-EA0294EC20F3}" type="VALUE">
                            <a:rPr lang="en-US"/>
                            <a:pPr/>
                            <a:t>[VALEUR]</a:t>
                          </a:fld>
                          <a:r>
                            <a:rPr lang="en-US" baseline="0"/>
                            <a:t>; </a:t>
                          </a:r>
                          <a:fld id="{83394D67-A8AD-4231-906F-12CCC0488424}" type="CELLREF">
                            <a:rPr lang="en-US" baseline="0"/>
                            <a:pPr/>
                            <a:t>[REFCELL]</a:t>
                          </a:fld>
                          <a:r>
                            <a:rPr lang="en-US" baseline="0"/>
                            <a:t>; </a:t>
                          </a:r>
                          <a:fld id="{AD3F60D9-7576-47BF-86CC-5CCEECC123F2}" type="PERCENTAGE">
                            <a:rPr lang="en-US" baseline="0"/>
                            <a:pPr/>
                            <a:t>[POURCENTAGE]</a:t>
                          </a:fld>
                          <a:endParaRPr lang="en-US" baseline="0"/>
                        </a:p>
                      </c:rich>
                    </c:tx>
                    <c:dLblPos val="inEnd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>
                          <c15:dlblFTEntry>
                            <c15:txfldGUID>{83394D67-A8AD-4231-906F-12CCC0488424}</c15:txfldGUID>
                            <c15:f>'Full Year'!$G$1</c15:f>
                            <c15:dlblFieldTableCache>
                              <c:ptCount val="1"/>
                              <c:pt idx="0">
                                <c:v>Casual (€)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4-E53D-4F37-9B1C-35E0E4E715FC}"/>
                      </c:ext>
                    </c:extLst>
                  </c:dLbl>
                  <c:dLbl>
                    <c:idx val="5"/>
                    <c:tx>
                      <c:rich>
                        <a:bodyPr/>
                        <a:lstStyle/>
                        <a:p>
                          <a:fld id="{6B69F555-0EF3-40D2-9F5B-0B7958F7768D}" type="CELLREF">
                            <a:rPr lang="en-US" baseline="0"/>
                            <a:pPr/>
                            <a:t>[REFCELL]</a:t>
                          </a:fld>
                          <a:r>
                            <a:rPr lang="en-US" baseline="0"/>
                            <a:t>; </a:t>
                          </a:r>
                          <a:fld id="{B3D620D1-75E9-4B21-9BC7-D0D678452161}" type="PERCENTAGE">
                            <a:rPr lang="en-US" baseline="0"/>
                            <a:pPr/>
                            <a:t>[POURCENTAGE]</a:t>
                          </a:fld>
                          <a:endParaRPr lang="en-US" baseline="0"/>
                        </a:p>
                      </c:rich>
                    </c:tx>
                    <c:dLblPos val="inEnd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>
                          <c15:dlblFTEntry>
                            <c15:txfldGUID>{6B69F555-0EF3-40D2-9F5B-0B7958F7768D}</c15:txfldGUID>
                            <c15:f>'Full Year'!$H$14</c15:f>
                            <c15:dlblFieldTableCache>
                              <c:ptCount val="1"/>
                              <c:pt idx="0">
                                <c:v>3 042,75 €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3-E53D-4F37-9B1C-35E0E4E715FC}"/>
                      </c:ext>
                    </c:extLst>
                  </c:dLbl>
                  <c:spPr>
                    <a:solidFill>
                      <a:schemeClr val="dk1">
                        <a:lumMod val="65000"/>
                        <a:lumOff val="35000"/>
                        <a:alpha val="75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inEnd"/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'Full Year'!$C$14</c15:sqref>
                        </c15:formulaRef>
                      </c:ext>
                    </c:extLst>
                    <c:numCache>
                      <c:formatCode>#\ ##0.00\ \€</c:formatCode>
                      <c:ptCount val="1"/>
                      <c:pt idx="0">
                        <c:v>18688.900000000001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5BF-4BB7-8E8A-361DD46E3D3A}"/>
                  </c:ext>
                </c:extLst>
              </c15:ser>
            </c15:filteredBarSeries>
          </c:ext>
        </c:extLst>
      </c:barChart>
      <c:valAx>
        <c:axId val="243449135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\ ##0.00\ \€" sourceLinked="1"/>
        <c:majorTickMark val="none"/>
        <c:minorTickMark val="none"/>
        <c:tickLblPos val="nextTo"/>
        <c:crossAx val="963565087"/>
        <c:crossBetween val="between"/>
      </c:valAx>
      <c:catAx>
        <c:axId val="963565087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344913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628650</xdr:colOff>
      <xdr:row>1</xdr:row>
      <xdr:rowOff>123825</xdr:rowOff>
    </xdr:from>
    <xdr:to>
      <xdr:col>15</xdr:col>
      <xdr:colOff>374650</xdr:colOff>
      <xdr:row>18</xdr:row>
      <xdr:rowOff>60325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FCF11FB-F6A9-5405-ECBC-023B8811A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409575</xdr:colOff>
      <xdr:row>0</xdr:row>
      <xdr:rowOff>0</xdr:rowOff>
    </xdr:from>
    <xdr:to>
      <xdr:col>22</xdr:col>
      <xdr:colOff>155575</xdr:colOff>
      <xdr:row>16</xdr:row>
      <xdr:rowOff>127000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682EBAA-81C7-A5E7-1B55-C4C4FF28A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E6B3E-6937-4E68-B767-9FFF5BBA346D}">
  <sheetPr codeName="Feuil2">
    <tabColor rgb="FFC00000"/>
  </sheetPr>
  <dimension ref="A1:O35"/>
  <sheetViews>
    <sheetView showGridLines="0" workbookViewId="0">
      <selection activeCell="I26" sqref="I26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1" spans="1:15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ht="28.5" x14ac:dyDescent="0.45">
      <c r="A2" s="43"/>
      <c r="B2" s="47" t="s">
        <v>0</v>
      </c>
      <c r="C2" s="43"/>
      <c r="D2" s="43"/>
      <c r="E2" s="47" t="s">
        <v>1</v>
      </c>
      <c r="F2" s="43"/>
      <c r="G2" s="43"/>
      <c r="H2" s="47" t="s">
        <v>2</v>
      </c>
      <c r="I2" s="43"/>
      <c r="J2" s="43"/>
      <c r="K2" s="47" t="s">
        <v>3</v>
      </c>
      <c r="L2" s="43"/>
      <c r="M2" s="43"/>
      <c r="N2" s="46" t="s">
        <v>4</v>
      </c>
      <c r="O2" s="43"/>
    </row>
    <row r="3" spans="1:15" x14ac:dyDescent="0.25">
      <c r="A3" s="43"/>
      <c r="B3" s="45">
        <f>SUM(B10:B15)</f>
        <v>2261</v>
      </c>
      <c r="C3" s="43"/>
      <c r="D3" s="43"/>
      <c r="E3" s="45">
        <f>SUM(E10:E25)</f>
        <v>1079.2</v>
      </c>
      <c r="F3" s="43"/>
      <c r="G3" s="43"/>
      <c r="H3" s="45">
        <f>SUM(H10:H15)</f>
        <v>0</v>
      </c>
      <c r="I3" s="43"/>
      <c r="J3" s="43"/>
      <c r="K3" s="45">
        <f>SUM(K10:K15)</f>
        <v>451</v>
      </c>
      <c r="L3" s="43"/>
      <c r="M3" s="43"/>
      <c r="N3" s="45">
        <f>SUM(N10:N30)</f>
        <v>454.74</v>
      </c>
      <c r="O3" s="43"/>
    </row>
    <row r="4" spans="1:15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</row>
    <row r="5" spans="1:15" x14ac:dyDescent="0.25">
      <c r="A5" s="43"/>
      <c r="B5" s="44" t="s">
        <v>5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</row>
    <row r="6" spans="1:15" x14ac:dyDescent="0.25">
      <c r="A6" s="43"/>
      <c r="B6" s="45">
        <f>B3-E3-H3-K3-N3</f>
        <v>276.05999999999995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</row>
    <row r="7" spans="1:15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</row>
    <row r="8" spans="1:15" ht="31.5" x14ac:dyDescent="0.5">
      <c r="A8" s="83" t="s">
        <v>6</v>
      </c>
      <c r="B8" s="27"/>
      <c r="C8" s="27"/>
      <c r="D8" s="84" t="s">
        <v>7</v>
      </c>
      <c r="E8" s="7"/>
      <c r="F8" s="7"/>
      <c r="G8" s="85" t="s">
        <v>8</v>
      </c>
      <c r="H8" s="32"/>
      <c r="I8" s="32"/>
      <c r="J8" s="86" t="s">
        <v>9</v>
      </c>
      <c r="K8" s="36"/>
      <c r="L8" s="36"/>
      <c r="M8" s="87" t="s">
        <v>4</v>
      </c>
      <c r="N8" s="40"/>
      <c r="O8" s="40"/>
    </row>
    <row r="9" spans="1:15" x14ac:dyDescent="0.25">
      <c r="A9" s="28" t="s">
        <v>10</v>
      </c>
      <c r="B9" s="28" t="s">
        <v>11</v>
      </c>
      <c r="C9" s="28"/>
      <c r="D9" s="8" t="s">
        <v>10</v>
      </c>
      <c r="E9" s="8" t="s">
        <v>11</v>
      </c>
      <c r="F9" s="8"/>
      <c r="G9" s="33" t="s">
        <v>10</v>
      </c>
      <c r="H9" s="33" t="s">
        <v>11</v>
      </c>
      <c r="I9" s="33"/>
      <c r="J9" s="37" t="s">
        <v>10</v>
      </c>
      <c r="K9" s="37" t="s">
        <v>11</v>
      </c>
      <c r="L9" s="37"/>
      <c r="M9" s="41" t="s">
        <v>10</v>
      </c>
      <c r="N9" s="41" t="s">
        <v>11</v>
      </c>
      <c r="O9" s="40"/>
    </row>
    <row r="10" spans="1:15" x14ac:dyDescent="0.25">
      <c r="A10" s="27"/>
      <c r="B10" s="29"/>
      <c r="C10" s="27"/>
      <c r="D10" s="7" t="s">
        <v>63</v>
      </c>
      <c r="E10" s="9">
        <v>601.77</v>
      </c>
      <c r="F10" s="7"/>
      <c r="G10" s="32" t="s">
        <v>18</v>
      </c>
      <c r="H10" s="34"/>
      <c r="I10" s="32"/>
      <c r="J10" s="36" t="s">
        <v>87</v>
      </c>
      <c r="K10" s="38">
        <v>181</v>
      </c>
      <c r="L10" s="36"/>
      <c r="M10" s="40" t="s">
        <v>24</v>
      </c>
      <c r="N10" s="42"/>
      <c r="O10" s="40"/>
    </row>
    <row r="11" spans="1:15" x14ac:dyDescent="0.25">
      <c r="A11" s="27" t="s">
        <v>55</v>
      </c>
      <c r="B11" s="29">
        <v>2261</v>
      </c>
      <c r="C11" s="27"/>
      <c r="D11" s="7" t="s">
        <v>16</v>
      </c>
      <c r="E11" s="9">
        <v>26</v>
      </c>
      <c r="F11" s="7"/>
      <c r="G11" s="32" t="s">
        <v>19</v>
      </c>
      <c r="H11" s="34"/>
      <c r="I11" s="32"/>
      <c r="J11" s="36" t="s">
        <v>67</v>
      </c>
      <c r="K11" s="38">
        <v>270</v>
      </c>
      <c r="L11" s="36"/>
      <c r="M11" s="40"/>
      <c r="N11" s="42">
        <v>0.4</v>
      </c>
      <c r="O11" s="40"/>
    </row>
    <row r="12" spans="1:15" x14ac:dyDescent="0.25">
      <c r="A12" s="27" t="s">
        <v>213</v>
      </c>
      <c r="B12" s="29"/>
      <c r="C12" s="27"/>
      <c r="D12" s="7" t="s">
        <v>56</v>
      </c>
      <c r="E12" s="9">
        <v>24.98</v>
      </c>
      <c r="F12" s="7"/>
      <c r="G12" s="32" t="s">
        <v>20</v>
      </c>
      <c r="H12" s="34"/>
      <c r="I12" s="32"/>
      <c r="J12" s="36" t="s">
        <v>23</v>
      </c>
      <c r="K12" s="38"/>
      <c r="L12" s="36"/>
      <c r="M12" s="40"/>
      <c r="N12" s="42">
        <v>4.8</v>
      </c>
      <c r="O12" s="40"/>
    </row>
    <row r="13" spans="1:15" x14ac:dyDescent="0.25">
      <c r="A13" s="27"/>
      <c r="B13" s="29"/>
      <c r="C13" s="27"/>
      <c r="D13" s="7" t="s">
        <v>57</v>
      </c>
      <c r="E13" s="9">
        <v>29.98</v>
      </c>
      <c r="F13" s="7"/>
      <c r="G13" s="32"/>
      <c r="H13" s="34"/>
      <c r="I13" s="32"/>
      <c r="J13" s="36"/>
      <c r="K13" s="38"/>
      <c r="L13" s="36"/>
      <c r="M13" s="40"/>
      <c r="N13" s="42">
        <v>20.5</v>
      </c>
      <c r="O13" s="40"/>
    </row>
    <row r="14" spans="1:15" x14ac:dyDescent="0.25">
      <c r="A14" s="27"/>
      <c r="B14" s="29"/>
      <c r="C14" s="27"/>
      <c r="D14" s="7" t="s">
        <v>58</v>
      </c>
      <c r="E14" s="9">
        <v>5</v>
      </c>
      <c r="F14" s="7"/>
      <c r="G14" s="32"/>
      <c r="H14" s="34"/>
      <c r="I14" s="32"/>
      <c r="J14" s="36"/>
      <c r="K14" s="38"/>
      <c r="L14" s="36"/>
      <c r="M14" s="40"/>
      <c r="N14" s="42">
        <v>36.31</v>
      </c>
      <c r="O14" s="40"/>
    </row>
    <row r="15" spans="1:15" x14ac:dyDescent="0.25">
      <c r="A15" s="27"/>
      <c r="B15" s="29"/>
      <c r="C15" s="27"/>
      <c r="D15" s="7" t="s">
        <v>59</v>
      </c>
      <c r="E15" s="9">
        <v>21.99</v>
      </c>
      <c r="F15" s="7"/>
      <c r="G15" s="32"/>
      <c r="H15" s="34"/>
      <c r="I15" s="32"/>
      <c r="J15" s="36"/>
      <c r="K15" s="38"/>
      <c r="L15" s="36"/>
      <c r="M15" s="40" t="s">
        <v>60</v>
      </c>
      <c r="N15" s="42">
        <v>100</v>
      </c>
      <c r="O15" s="40"/>
    </row>
    <row r="16" spans="1:15" x14ac:dyDescent="0.25">
      <c r="A16" s="28" t="s">
        <v>27</v>
      </c>
      <c r="B16" s="30">
        <f>SUM(B10:B15)</f>
        <v>2261</v>
      </c>
      <c r="C16" s="27"/>
      <c r="D16" s="7" t="s">
        <v>61</v>
      </c>
      <c r="E16" s="9">
        <v>18.3</v>
      </c>
      <c r="F16" s="7"/>
      <c r="G16" s="33" t="s">
        <v>27</v>
      </c>
      <c r="H16" s="35">
        <f>SUM(H10:H15)</f>
        <v>0</v>
      </c>
      <c r="I16" s="32"/>
      <c r="J16" s="37" t="s">
        <v>27</v>
      </c>
      <c r="K16" s="39">
        <f>SUM(K10:K15)</f>
        <v>451</v>
      </c>
      <c r="L16" s="36"/>
      <c r="M16" s="40"/>
      <c r="N16" s="42">
        <v>6.15</v>
      </c>
      <c r="O16" s="40"/>
    </row>
    <row r="17" spans="4:15" x14ac:dyDescent="0.25">
      <c r="D17" s="7" t="s">
        <v>62</v>
      </c>
      <c r="E17" s="9">
        <v>72.14</v>
      </c>
      <c r="F17" s="7"/>
      <c r="M17" s="40" t="s">
        <v>66</v>
      </c>
      <c r="N17" s="42">
        <v>10</v>
      </c>
      <c r="O17" s="40"/>
    </row>
    <row r="18" spans="4:15" x14ac:dyDescent="0.25">
      <c r="D18" s="7" t="s">
        <v>64</v>
      </c>
      <c r="E18" s="9">
        <v>97.99</v>
      </c>
      <c r="F18" s="7"/>
      <c r="M18" s="40" t="s">
        <v>69</v>
      </c>
      <c r="N18" s="42">
        <v>20</v>
      </c>
      <c r="O18" s="40"/>
    </row>
    <row r="19" spans="4:15" x14ac:dyDescent="0.25">
      <c r="D19" s="7" t="s">
        <v>65</v>
      </c>
      <c r="E19" s="9">
        <v>41.1</v>
      </c>
      <c r="F19" s="7"/>
      <c r="M19" s="40" t="s">
        <v>70</v>
      </c>
      <c r="N19" s="42">
        <v>45.4</v>
      </c>
      <c r="O19" s="40"/>
    </row>
    <row r="20" spans="4:15" x14ac:dyDescent="0.25">
      <c r="D20" s="7" t="s">
        <v>68</v>
      </c>
      <c r="E20" s="9">
        <v>50</v>
      </c>
      <c r="F20" s="7"/>
      <c r="M20" s="40" t="s">
        <v>71</v>
      </c>
      <c r="N20" s="42">
        <v>15</v>
      </c>
      <c r="O20" s="40"/>
    </row>
    <row r="21" spans="4:15" x14ac:dyDescent="0.25">
      <c r="D21" s="7" t="s">
        <v>75</v>
      </c>
      <c r="E21" s="9">
        <v>60.87</v>
      </c>
      <c r="F21" s="7"/>
      <c r="M21" s="40" t="s">
        <v>72</v>
      </c>
      <c r="N21" s="42">
        <v>32.15</v>
      </c>
      <c r="O21" s="40"/>
    </row>
    <row r="22" spans="4:15" x14ac:dyDescent="0.25">
      <c r="D22" s="7" t="s">
        <v>76</v>
      </c>
      <c r="E22" s="9">
        <v>12.14</v>
      </c>
      <c r="F22" s="7"/>
      <c r="M22" s="40" t="s">
        <v>73</v>
      </c>
      <c r="N22" s="42">
        <v>2.2999999999999998</v>
      </c>
      <c r="O22" s="40"/>
    </row>
    <row r="23" spans="4:15" x14ac:dyDescent="0.25">
      <c r="D23" s="7" t="s">
        <v>51</v>
      </c>
      <c r="E23" s="9">
        <v>6.99</v>
      </c>
      <c r="F23" s="7"/>
      <c r="M23" s="40" t="s">
        <v>74</v>
      </c>
      <c r="N23" s="42">
        <v>50</v>
      </c>
      <c r="O23" s="40"/>
    </row>
    <row r="24" spans="4:15" x14ac:dyDescent="0.25">
      <c r="D24" s="7" t="s">
        <v>82</v>
      </c>
      <c r="E24" s="9">
        <v>9.9499999999999993</v>
      </c>
      <c r="F24" s="7"/>
      <c r="M24" s="40" t="s">
        <v>78</v>
      </c>
      <c r="N24" s="42">
        <v>10.82</v>
      </c>
      <c r="O24" s="40"/>
    </row>
    <row r="25" spans="4:15" x14ac:dyDescent="0.25">
      <c r="D25" s="7"/>
      <c r="E25" s="9"/>
      <c r="F25" s="7"/>
      <c r="M25" s="40" t="s">
        <v>79</v>
      </c>
      <c r="N25" s="42">
        <v>1.28</v>
      </c>
      <c r="O25" s="40"/>
    </row>
    <row r="26" spans="4:15" x14ac:dyDescent="0.25">
      <c r="D26" s="8"/>
      <c r="E26" s="31"/>
      <c r="F26" s="7"/>
      <c r="M26" s="40" t="s">
        <v>80</v>
      </c>
      <c r="N26" s="42">
        <v>19.100000000000001</v>
      </c>
      <c r="O26" s="40"/>
    </row>
    <row r="27" spans="4:15" x14ac:dyDescent="0.25">
      <c r="D27" s="7"/>
      <c r="E27" s="7"/>
      <c r="F27" s="7"/>
      <c r="M27" s="40" t="s">
        <v>80</v>
      </c>
      <c r="N27" s="42">
        <v>11</v>
      </c>
      <c r="O27" s="40"/>
    </row>
    <row r="28" spans="4:15" x14ac:dyDescent="0.25">
      <c r="D28" s="7"/>
      <c r="E28" s="7"/>
      <c r="F28" s="7"/>
      <c r="M28" s="40" t="s">
        <v>81</v>
      </c>
      <c r="N28" s="42">
        <v>0.75</v>
      </c>
      <c r="O28" s="40"/>
    </row>
    <row r="29" spans="4:15" x14ac:dyDescent="0.25">
      <c r="D29" s="7"/>
      <c r="E29" s="7"/>
      <c r="F29" s="7"/>
      <c r="M29" s="40" t="s">
        <v>79</v>
      </c>
      <c r="N29" s="42">
        <v>12.98</v>
      </c>
      <c r="O29" s="40"/>
    </row>
    <row r="30" spans="4:15" x14ac:dyDescent="0.25">
      <c r="D30" s="7"/>
      <c r="E30" s="7"/>
      <c r="F30" s="7"/>
      <c r="M30" s="40" t="s">
        <v>80</v>
      </c>
      <c r="N30" s="42">
        <v>55.8</v>
      </c>
      <c r="O30" s="40"/>
    </row>
    <row r="31" spans="4:15" x14ac:dyDescent="0.25">
      <c r="D31" s="7"/>
      <c r="E31" s="7"/>
      <c r="F31" s="7"/>
      <c r="M31" s="40"/>
      <c r="N31" s="42"/>
      <c r="O31" s="40"/>
    </row>
    <row r="32" spans="4:15" x14ac:dyDescent="0.25">
      <c r="D32" s="7"/>
      <c r="E32" s="7"/>
      <c r="F32" s="7"/>
      <c r="M32" s="40" t="s">
        <v>83</v>
      </c>
      <c r="N32" s="42">
        <v>13.76</v>
      </c>
      <c r="O32" s="40"/>
    </row>
    <row r="33" spans="4:15" x14ac:dyDescent="0.25">
      <c r="D33" s="7"/>
      <c r="E33" s="7"/>
      <c r="F33" s="7"/>
      <c r="M33" s="40"/>
      <c r="N33" s="40"/>
      <c r="O33" s="40"/>
    </row>
    <row r="34" spans="4:15" x14ac:dyDescent="0.25">
      <c r="D34" s="7" t="s">
        <v>77</v>
      </c>
      <c r="E34" s="9">
        <f>SUM(E10:E33)</f>
        <v>1079.2</v>
      </c>
      <c r="F34" s="7"/>
      <c r="M34" s="41" t="s">
        <v>27</v>
      </c>
      <c r="N34" s="42">
        <f>SUM(N11:N33)</f>
        <v>468.5</v>
      </c>
      <c r="O34" s="40"/>
    </row>
    <row r="35" spans="4:15" x14ac:dyDescent="0.25">
      <c r="M35" s="40"/>
      <c r="N35" s="40"/>
      <c r="O35" s="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228D-6C80-4AB4-BC02-CD9E8021C3FD}">
  <sheetPr codeName="Feuil3">
    <tabColor rgb="FFFFC000"/>
  </sheetPr>
  <dimension ref="A1:O31"/>
  <sheetViews>
    <sheetView showGridLines="0" workbookViewId="0">
      <selection activeCell="A11" sqref="A11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1" spans="1:15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x14ac:dyDescent="0.25">
      <c r="A2" s="10"/>
      <c r="B2" s="11" t="s">
        <v>0</v>
      </c>
      <c r="C2" s="10"/>
      <c r="D2" s="10"/>
      <c r="E2" s="11" t="s">
        <v>1</v>
      </c>
      <c r="F2" s="10"/>
      <c r="G2" s="10"/>
      <c r="H2" s="11" t="s">
        <v>2</v>
      </c>
      <c r="I2" s="10"/>
      <c r="J2" s="10"/>
      <c r="K2" s="11" t="s">
        <v>3</v>
      </c>
      <c r="L2" s="10"/>
      <c r="M2" s="10"/>
      <c r="N2" s="11" t="s">
        <v>4</v>
      </c>
      <c r="O2" s="10"/>
    </row>
    <row r="3" spans="1:15" x14ac:dyDescent="0.25">
      <c r="A3" s="10"/>
      <c r="B3" s="12">
        <f>SUM(B10:B15)</f>
        <v>2458.52</v>
      </c>
      <c r="C3" s="10"/>
      <c r="D3" s="10"/>
      <c r="E3" s="12">
        <f>SUM(E10:E30)</f>
        <v>1330.6900000000003</v>
      </c>
      <c r="F3" s="10"/>
      <c r="G3" s="10"/>
      <c r="H3" s="12">
        <f>SUM(H10:H15)</f>
        <v>0</v>
      </c>
      <c r="I3" s="10"/>
      <c r="J3" s="10"/>
      <c r="K3" s="12">
        <f>SUM(K10:K15)</f>
        <v>600</v>
      </c>
      <c r="L3" s="10"/>
      <c r="M3" s="10"/>
      <c r="N3" s="12">
        <f>SUM(N10:N30)</f>
        <v>479.66999999999996</v>
      </c>
      <c r="O3" s="10"/>
    </row>
    <row r="4" spans="1:15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x14ac:dyDescent="0.25">
      <c r="A5" s="10"/>
      <c r="B5" s="11" t="s">
        <v>5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0"/>
      <c r="B6" s="12">
        <f>B3-E3-H3-K3-N3</f>
        <v>48.159999999999741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</row>
    <row r="7" spans="1:15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</row>
    <row r="8" spans="1:15" ht="28.5" x14ac:dyDescent="0.45">
      <c r="A8" s="65" t="s">
        <v>6</v>
      </c>
      <c r="B8" s="48"/>
      <c r="C8" s="48"/>
      <c r="D8" s="66" t="s">
        <v>7</v>
      </c>
      <c r="E8" s="40"/>
      <c r="F8" s="40"/>
      <c r="G8" s="67" t="s">
        <v>8</v>
      </c>
      <c r="H8" s="53"/>
      <c r="I8" s="53"/>
      <c r="J8" s="68" t="s">
        <v>9</v>
      </c>
      <c r="K8" s="57"/>
      <c r="L8" s="57"/>
      <c r="M8" s="69" t="s">
        <v>4</v>
      </c>
      <c r="N8" s="61"/>
      <c r="O8" s="61"/>
    </row>
    <row r="9" spans="1:15" x14ac:dyDescent="0.25">
      <c r="A9" s="49" t="s">
        <v>10</v>
      </c>
      <c r="B9" s="49" t="s">
        <v>11</v>
      </c>
      <c r="C9" s="49"/>
      <c r="D9" s="41" t="s">
        <v>10</v>
      </c>
      <c r="E9" s="41" t="s">
        <v>11</v>
      </c>
      <c r="F9" s="41"/>
      <c r="G9" s="54" t="s">
        <v>10</v>
      </c>
      <c r="H9" s="54" t="s">
        <v>11</v>
      </c>
      <c r="I9" s="54"/>
      <c r="J9" s="58" t="s">
        <v>10</v>
      </c>
      <c r="K9" s="58" t="s">
        <v>11</v>
      </c>
      <c r="L9" s="58"/>
      <c r="M9" s="62" t="s">
        <v>10</v>
      </c>
      <c r="N9" s="62" t="s">
        <v>11</v>
      </c>
      <c r="O9" s="61"/>
    </row>
    <row r="10" spans="1:15" x14ac:dyDescent="0.25">
      <c r="A10" s="48" t="s">
        <v>55</v>
      </c>
      <c r="B10" s="50">
        <v>2458.52</v>
      </c>
      <c r="C10" s="48"/>
      <c r="D10" s="40" t="s">
        <v>59</v>
      </c>
      <c r="E10" s="42">
        <v>21.99</v>
      </c>
      <c r="F10" s="40"/>
      <c r="G10" s="53" t="s">
        <v>92</v>
      </c>
      <c r="H10" s="55"/>
      <c r="I10" s="53"/>
      <c r="J10" s="57" t="s">
        <v>87</v>
      </c>
      <c r="K10" s="59">
        <v>200</v>
      </c>
      <c r="L10" s="57"/>
      <c r="M10" s="61" t="s">
        <v>84</v>
      </c>
      <c r="N10" s="63">
        <v>39.03</v>
      </c>
      <c r="O10" s="61"/>
    </row>
    <row r="11" spans="1:15" x14ac:dyDescent="0.25">
      <c r="A11" s="48" t="s">
        <v>48</v>
      </c>
      <c r="B11" s="50"/>
      <c r="C11" s="48"/>
      <c r="D11" s="40" t="s">
        <v>85</v>
      </c>
      <c r="E11" s="42">
        <v>6.15</v>
      </c>
      <c r="F11" s="40"/>
      <c r="G11" s="53" t="s">
        <v>19</v>
      </c>
      <c r="H11" s="55"/>
      <c r="I11" s="53"/>
      <c r="J11" s="57" t="s">
        <v>67</v>
      </c>
      <c r="K11" s="59">
        <v>400</v>
      </c>
      <c r="L11" s="57"/>
      <c r="M11" s="61" t="s">
        <v>66</v>
      </c>
      <c r="N11" s="63">
        <v>10</v>
      </c>
      <c r="O11" s="61"/>
    </row>
    <row r="12" spans="1:15" x14ac:dyDescent="0.25">
      <c r="A12" s="48" t="s">
        <v>14</v>
      </c>
      <c r="B12" s="50"/>
      <c r="C12" s="48"/>
      <c r="D12" s="40" t="s">
        <v>86</v>
      </c>
      <c r="E12" s="42">
        <v>24.98</v>
      </c>
      <c r="F12" s="40"/>
      <c r="G12" s="53" t="s">
        <v>20</v>
      </c>
      <c r="H12" s="55"/>
      <c r="I12" s="53"/>
      <c r="J12" s="57" t="s">
        <v>23</v>
      </c>
      <c r="K12" s="59"/>
      <c r="L12" s="57"/>
      <c r="M12" s="61" t="s">
        <v>91</v>
      </c>
      <c r="N12" s="63">
        <v>2.8</v>
      </c>
      <c r="O12" s="61"/>
    </row>
    <row r="13" spans="1:15" x14ac:dyDescent="0.25">
      <c r="A13" s="48"/>
      <c r="B13" s="50"/>
      <c r="C13" s="48"/>
      <c r="D13" s="40" t="s">
        <v>57</v>
      </c>
      <c r="E13" s="42">
        <v>29.98</v>
      </c>
      <c r="F13" s="40"/>
      <c r="G13" s="53"/>
      <c r="H13" s="55"/>
      <c r="I13" s="53"/>
      <c r="J13" s="57"/>
      <c r="K13" s="59"/>
      <c r="L13" s="57"/>
      <c r="M13" s="61" t="s">
        <v>79</v>
      </c>
      <c r="N13" s="63">
        <v>8.48</v>
      </c>
      <c r="O13" s="61"/>
    </row>
    <row r="14" spans="1:15" x14ac:dyDescent="0.25">
      <c r="A14" s="48"/>
      <c r="B14" s="50"/>
      <c r="C14" s="48"/>
      <c r="D14" s="40" t="s">
        <v>88</v>
      </c>
      <c r="E14" s="42">
        <v>26</v>
      </c>
      <c r="F14" s="40"/>
      <c r="G14" s="53"/>
      <c r="H14" s="55"/>
      <c r="I14" s="53"/>
      <c r="J14" s="57"/>
      <c r="K14" s="59"/>
      <c r="L14" s="57"/>
      <c r="M14" s="61" t="s">
        <v>93</v>
      </c>
      <c r="N14" s="63">
        <v>54.31</v>
      </c>
      <c r="O14" s="61"/>
    </row>
    <row r="15" spans="1:15" x14ac:dyDescent="0.25">
      <c r="A15" s="48"/>
      <c r="B15" s="50"/>
      <c r="C15" s="48"/>
      <c r="D15" s="40" t="s">
        <v>62</v>
      </c>
      <c r="E15" s="42">
        <v>71.91</v>
      </c>
      <c r="F15" s="40"/>
      <c r="G15" s="53"/>
      <c r="H15" s="55"/>
      <c r="I15" s="53"/>
      <c r="J15" s="57"/>
      <c r="K15" s="59"/>
      <c r="L15" s="57"/>
      <c r="M15" s="61" t="s">
        <v>94</v>
      </c>
      <c r="N15" s="63">
        <v>100</v>
      </c>
      <c r="O15" s="61"/>
    </row>
    <row r="16" spans="1:15" x14ac:dyDescent="0.25">
      <c r="A16" s="49" t="s">
        <v>27</v>
      </c>
      <c r="B16" s="51">
        <f>SUM(B10:B15)</f>
        <v>2458.52</v>
      </c>
      <c r="C16" s="48"/>
      <c r="D16" s="40" t="s">
        <v>64</v>
      </c>
      <c r="E16" s="42">
        <v>97.99</v>
      </c>
      <c r="F16" s="40"/>
      <c r="G16" s="54" t="s">
        <v>27</v>
      </c>
      <c r="H16" s="56">
        <f>SUM(H10:H15)</f>
        <v>0</v>
      </c>
      <c r="I16" s="53"/>
      <c r="J16" s="58" t="s">
        <v>27</v>
      </c>
      <c r="K16" s="60">
        <f>SUM(K10:K15)</f>
        <v>600</v>
      </c>
      <c r="L16" s="57"/>
      <c r="M16" s="61" t="s">
        <v>98</v>
      </c>
      <c r="N16" s="63">
        <v>31.9</v>
      </c>
      <c r="O16" s="61"/>
    </row>
    <row r="17" spans="1:15" x14ac:dyDescent="0.25">
      <c r="A17" s="48"/>
      <c r="B17" s="48"/>
      <c r="C17" s="48"/>
      <c r="D17" s="40" t="s">
        <v>89</v>
      </c>
      <c r="E17" s="42">
        <v>601.77</v>
      </c>
      <c r="F17" s="40"/>
      <c r="G17" s="53"/>
      <c r="H17" s="53"/>
      <c r="I17" s="53"/>
      <c r="J17" s="57"/>
      <c r="K17" s="57"/>
      <c r="L17" s="57"/>
      <c r="M17" s="61" t="s">
        <v>100</v>
      </c>
      <c r="N17" s="63">
        <v>27.97</v>
      </c>
      <c r="O17" s="61"/>
    </row>
    <row r="18" spans="1:15" x14ac:dyDescent="0.25">
      <c r="A18" s="48"/>
      <c r="B18" s="48"/>
      <c r="C18" s="48"/>
      <c r="D18" s="40" t="s">
        <v>90</v>
      </c>
      <c r="E18" s="42">
        <v>1.19</v>
      </c>
      <c r="F18" s="40"/>
      <c r="G18" s="53"/>
      <c r="H18" s="53"/>
      <c r="I18" s="53"/>
      <c r="J18" s="57"/>
      <c r="K18" s="57"/>
      <c r="L18" s="57"/>
      <c r="M18" s="61" t="s">
        <v>99</v>
      </c>
      <c r="N18" s="63">
        <v>38.28</v>
      </c>
      <c r="O18" s="61"/>
    </row>
    <row r="19" spans="1:15" x14ac:dyDescent="0.25">
      <c r="A19" s="48"/>
      <c r="B19" s="48"/>
      <c r="C19" s="48"/>
      <c r="D19" s="40" t="s">
        <v>95</v>
      </c>
      <c r="E19" s="42">
        <v>270</v>
      </c>
      <c r="F19" s="40"/>
      <c r="G19" s="53"/>
      <c r="H19" s="53"/>
      <c r="I19" s="53"/>
      <c r="J19" s="57"/>
      <c r="K19" s="57"/>
      <c r="L19" s="57"/>
      <c r="M19" s="61" t="s">
        <v>103</v>
      </c>
      <c r="N19" s="63">
        <v>20</v>
      </c>
      <c r="O19" s="61"/>
    </row>
    <row r="20" spans="1:15" x14ac:dyDescent="0.25">
      <c r="A20" s="48"/>
      <c r="B20" s="48"/>
      <c r="C20" s="48"/>
      <c r="D20" s="40" t="s">
        <v>96</v>
      </c>
      <c r="E20" s="42">
        <v>50</v>
      </c>
      <c r="F20" s="40"/>
      <c r="G20" s="53"/>
      <c r="H20" s="53"/>
      <c r="I20" s="53"/>
      <c r="J20" s="57"/>
      <c r="K20" s="57"/>
      <c r="L20" s="57"/>
      <c r="M20" s="61" t="s">
        <v>100</v>
      </c>
      <c r="N20" s="63">
        <v>31.9</v>
      </c>
      <c r="O20" s="61"/>
    </row>
    <row r="21" spans="1:15" x14ac:dyDescent="0.25">
      <c r="A21" s="48"/>
      <c r="B21" s="48"/>
      <c r="C21" s="48"/>
      <c r="D21" s="40" t="s">
        <v>97</v>
      </c>
      <c r="E21" s="42">
        <v>5</v>
      </c>
      <c r="F21" s="40"/>
      <c r="G21" s="53"/>
      <c r="H21" s="53"/>
      <c r="I21" s="53"/>
      <c r="J21" s="57"/>
      <c r="K21" s="57"/>
      <c r="L21" s="57"/>
      <c r="M21" s="61" t="s">
        <v>104</v>
      </c>
      <c r="N21" s="63">
        <v>15</v>
      </c>
      <c r="O21" s="61"/>
    </row>
    <row r="22" spans="1:15" x14ac:dyDescent="0.25">
      <c r="A22" s="48"/>
      <c r="B22" s="48"/>
      <c r="C22" s="48"/>
      <c r="D22" s="40" t="s">
        <v>101</v>
      </c>
      <c r="E22" s="42">
        <v>12.14</v>
      </c>
      <c r="F22" s="40"/>
      <c r="G22" s="53"/>
      <c r="H22" s="53"/>
      <c r="I22" s="53"/>
      <c r="J22" s="57"/>
      <c r="K22" s="57"/>
      <c r="L22" s="57"/>
      <c r="M22" s="61" t="s">
        <v>60</v>
      </c>
      <c r="N22" s="63">
        <v>100</v>
      </c>
      <c r="O22" s="61"/>
    </row>
    <row r="23" spans="1:15" x14ac:dyDescent="0.25">
      <c r="A23" s="48"/>
      <c r="B23" s="48"/>
      <c r="C23" s="48"/>
      <c r="D23" s="40" t="s">
        <v>102</v>
      </c>
      <c r="E23" s="42">
        <v>1.99</v>
      </c>
      <c r="F23" s="40"/>
      <c r="G23" s="53"/>
      <c r="H23" s="53"/>
      <c r="I23" s="53"/>
      <c r="J23" s="57"/>
      <c r="K23" s="57"/>
      <c r="L23" s="57"/>
      <c r="M23" s="61"/>
      <c r="N23" s="63"/>
      <c r="O23" s="61"/>
    </row>
    <row r="24" spans="1:15" x14ac:dyDescent="0.25">
      <c r="A24" s="48"/>
      <c r="B24" s="48"/>
      <c r="C24" s="48"/>
      <c r="D24" s="40" t="s">
        <v>51</v>
      </c>
      <c r="E24" s="42">
        <v>6.99</v>
      </c>
      <c r="F24" s="40"/>
      <c r="G24" s="53"/>
      <c r="H24" s="53"/>
      <c r="I24" s="53"/>
      <c r="J24" s="57"/>
      <c r="K24" s="57"/>
      <c r="L24" s="57"/>
      <c r="M24" s="61"/>
      <c r="N24" s="63"/>
      <c r="O24" s="61"/>
    </row>
    <row r="25" spans="1:15" x14ac:dyDescent="0.25">
      <c r="A25" s="48"/>
      <c r="B25" s="48"/>
      <c r="C25" s="48"/>
      <c r="D25" s="40" t="s">
        <v>65</v>
      </c>
      <c r="E25" s="42">
        <v>92.66</v>
      </c>
      <c r="F25" s="40"/>
      <c r="G25" s="53"/>
      <c r="H25" s="53"/>
      <c r="I25" s="53"/>
      <c r="J25" s="57"/>
      <c r="K25" s="57"/>
      <c r="L25" s="57"/>
      <c r="M25" s="61"/>
      <c r="N25" s="63"/>
      <c r="O25" s="61"/>
    </row>
    <row r="26" spans="1:15" x14ac:dyDescent="0.25">
      <c r="A26" s="48"/>
      <c r="B26" s="48"/>
      <c r="C26" s="48"/>
      <c r="D26" s="40" t="s">
        <v>105</v>
      </c>
      <c r="E26" s="42">
        <v>9.9499999999999993</v>
      </c>
      <c r="F26" s="40"/>
      <c r="G26" s="53"/>
      <c r="H26" s="53"/>
      <c r="I26" s="53"/>
      <c r="J26" s="57"/>
      <c r="K26" s="57"/>
      <c r="L26" s="57"/>
      <c r="M26" s="61"/>
      <c r="N26" s="63"/>
      <c r="O26" s="61"/>
    </row>
    <row r="27" spans="1:15" x14ac:dyDescent="0.25">
      <c r="A27" s="48"/>
      <c r="B27" s="48"/>
      <c r="C27" s="48"/>
      <c r="D27" s="40"/>
      <c r="E27" s="42"/>
      <c r="F27" s="40"/>
      <c r="G27" s="53"/>
      <c r="H27" s="53"/>
      <c r="I27" s="53"/>
      <c r="J27" s="57"/>
      <c r="K27" s="57"/>
      <c r="L27" s="57"/>
      <c r="M27" s="61"/>
      <c r="N27" s="63"/>
      <c r="O27" s="61"/>
    </row>
    <row r="28" spans="1:15" x14ac:dyDescent="0.25">
      <c r="A28" s="48"/>
      <c r="B28" s="48"/>
      <c r="C28" s="48"/>
      <c r="D28" s="40"/>
      <c r="E28" s="42"/>
      <c r="F28" s="40"/>
      <c r="G28" s="53"/>
      <c r="H28" s="53"/>
      <c r="I28" s="53"/>
      <c r="J28" s="57"/>
      <c r="K28" s="57"/>
      <c r="L28" s="57"/>
      <c r="M28" s="61"/>
      <c r="N28" s="63"/>
      <c r="O28" s="61"/>
    </row>
    <row r="29" spans="1:15" x14ac:dyDescent="0.25">
      <c r="A29" s="48"/>
      <c r="B29" s="48"/>
      <c r="C29" s="48"/>
      <c r="D29" s="40"/>
      <c r="E29" s="42"/>
      <c r="F29" s="40"/>
      <c r="G29" s="53"/>
      <c r="H29" s="53"/>
      <c r="I29" s="53"/>
      <c r="J29" s="57"/>
      <c r="K29" s="57"/>
      <c r="L29" s="57"/>
      <c r="M29" s="61"/>
      <c r="N29" s="63"/>
      <c r="O29" s="61"/>
    </row>
    <row r="30" spans="1:15" x14ac:dyDescent="0.25">
      <c r="A30" s="48"/>
      <c r="B30" s="48"/>
      <c r="C30" s="48"/>
      <c r="D30" s="40"/>
      <c r="E30" s="42"/>
      <c r="F30" s="40"/>
      <c r="G30" s="53"/>
      <c r="H30" s="53"/>
      <c r="I30" s="53"/>
      <c r="J30" s="57"/>
      <c r="K30" s="57"/>
      <c r="L30" s="57"/>
      <c r="M30" s="61"/>
      <c r="N30" s="63"/>
      <c r="O30" s="61"/>
    </row>
    <row r="31" spans="1:15" x14ac:dyDescent="0.25">
      <c r="A31" s="48"/>
      <c r="B31" s="48"/>
      <c r="C31" s="48"/>
      <c r="D31" s="41" t="s">
        <v>27</v>
      </c>
      <c r="E31" s="52">
        <f>SUM(E10:E30)</f>
        <v>1330.6900000000003</v>
      </c>
      <c r="F31" s="40"/>
      <c r="G31" s="53"/>
      <c r="H31" s="53"/>
      <c r="I31" s="53"/>
      <c r="J31" s="57"/>
      <c r="K31" s="57"/>
      <c r="L31" s="57"/>
      <c r="M31" s="62" t="s">
        <v>27</v>
      </c>
      <c r="N31" s="64">
        <f>SUM(N10:N30)</f>
        <v>479.66999999999996</v>
      </c>
      <c r="O31" s="6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477E-1B1A-46B3-B69B-516536B5FC73}">
  <sheetPr codeName="Feuil4">
    <tabColor rgb="FF92D050"/>
  </sheetPr>
  <dimension ref="A1:N50"/>
  <sheetViews>
    <sheetView showGridLines="0" zoomScale="96" zoomScaleNormal="96" workbookViewId="0">
      <selection activeCell="K11" sqref="K11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1" spans="1:14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</row>
    <row r="2" spans="1:14" x14ac:dyDescent="0.25">
      <c r="A2" s="61"/>
      <c r="B2" s="62" t="s">
        <v>0</v>
      </c>
      <c r="C2" s="61"/>
      <c r="D2" s="61"/>
      <c r="E2" s="62" t="s">
        <v>1</v>
      </c>
      <c r="F2" s="61"/>
      <c r="G2" s="61"/>
      <c r="H2" s="62" t="s">
        <v>2</v>
      </c>
      <c r="I2" s="61"/>
      <c r="J2" s="61"/>
      <c r="K2" s="62" t="s">
        <v>3</v>
      </c>
      <c r="L2" s="61"/>
      <c r="M2" s="61"/>
      <c r="N2" s="62" t="s">
        <v>4</v>
      </c>
    </row>
    <row r="3" spans="1:14" x14ac:dyDescent="0.25">
      <c r="A3" s="61"/>
      <c r="B3" s="63">
        <f>SUM(B10:B19)</f>
        <v>3204.72</v>
      </c>
      <c r="C3" s="61"/>
      <c r="D3" s="61"/>
      <c r="E3" s="63">
        <f>SUM(E10:E49)</f>
        <v>1331.68</v>
      </c>
      <c r="F3" s="61"/>
      <c r="G3" s="61"/>
      <c r="H3" s="63">
        <f>SUM(H10:H19)</f>
        <v>0</v>
      </c>
      <c r="I3" s="61"/>
      <c r="J3" s="61"/>
      <c r="K3" s="63">
        <f>SUM(K10:K19)</f>
        <v>-320</v>
      </c>
      <c r="L3" s="61"/>
      <c r="M3" s="61"/>
      <c r="N3" s="63">
        <f>SUM(N10:N48)</f>
        <v>1874.1400000000003</v>
      </c>
    </row>
    <row r="4" spans="1:14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</row>
    <row r="5" spans="1:14" x14ac:dyDescent="0.25">
      <c r="A5" s="61"/>
      <c r="B5" s="62" t="s">
        <v>5</v>
      </c>
      <c r="C5" s="61"/>
      <c r="D5" s="61"/>
      <c r="E5" s="61" t="s">
        <v>212</v>
      </c>
      <c r="F5" s="61"/>
      <c r="G5" s="61"/>
      <c r="H5" s="61"/>
      <c r="I5" s="61"/>
      <c r="J5" s="61"/>
      <c r="K5" s="61"/>
      <c r="L5" s="61"/>
      <c r="M5" s="61"/>
      <c r="N5" s="61"/>
    </row>
    <row r="6" spans="1:14" x14ac:dyDescent="0.25">
      <c r="A6" s="61"/>
      <c r="B6" s="63">
        <f>B3-E3-H3-K3-N3</f>
        <v>318.89999999999964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</row>
    <row r="7" spans="1:14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</row>
    <row r="8" spans="1:14" x14ac:dyDescent="0.25">
      <c r="A8" s="7" t="s">
        <v>6</v>
      </c>
      <c r="B8" s="7"/>
      <c r="C8" s="7"/>
      <c r="D8" s="70" t="s">
        <v>7</v>
      </c>
      <c r="E8" s="70"/>
      <c r="F8" s="70"/>
      <c r="G8" s="74" t="s">
        <v>8</v>
      </c>
      <c r="H8" s="74"/>
      <c r="I8" s="74"/>
      <c r="J8" s="4" t="s">
        <v>9</v>
      </c>
      <c r="K8" s="4"/>
      <c r="L8" s="4"/>
      <c r="M8" s="79" t="s">
        <v>4</v>
      </c>
      <c r="N8" s="79"/>
    </row>
    <row r="9" spans="1:14" x14ac:dyDescent="0.25">
      <c r="A9" s="8" t="s">
        <v>10</v>
      </c>
      <c r="B9" s="8" t="s">
        <v>11</v>
      </c>
      <c r="C9" s="8"/>
      <c r="D9" s="71" t="s">
        <v>10</v>
      </c>
      <c r="E9" s="71" t="s">
        <v>11</v>
      </c>
      <c r="F9" s="71"/>
      <c r="G9" s="75" t="s">
        <v>10</v>
      </c>
      <c r="H9" s="75" t="s">
        <v>11</v>
      </c>
      <c r="I9" s="75"/>
      <c r="J9" s="5" t="s">
        <v>10</v>
      </c>
      <c r="K9" s="5" t="s">
        <v>11</v>
      </c>
      <c r="L9" s="5"/>
      <c r="M9" s="80" t="s">
        <v>10</v>
      </c>
      <c r="N9" s="80" t="s">
        <v>11</v>
      </c>
    </row>
    <row r="10" spans="1:14" x14ac:dyDescent="0.25">
      <c r="A10" s="110">
        <v>46080</v>
      </c>
      <c r="B10" s="9">
        <v>2103.09</v>
      </c>
      <c r="C10" s="7"/>
      <c r="D10" s="108" t="s">
        <v>107</v>
      </c>
      <c r="E10" s="109">
        <v>270</v>
      </c>
      <c r="F10" s="70"/>
      <c r="G10" s="74" t="s">
        <v>18</v>
      </c>
      <c r="H10" s="76"/>
      <c r="I10" s="74"/>
      <c r="J10" s="4" t="s">
        <v>87</v>
      </c>
      <c r="K10" s="6">
        <v>180</v>
      </c>
      <c r="L10" s="4"/>
      <c r="M10" s="79" t="s">
        <v>109</v>
      </c>
      <c r="N10" s="81">
        <v>50</v>
      </c>
    </row>
    <row r="11" spans="1:14" x14ac:dyDescent="0.25">
      <c r="A11" s="7" t="s">
        <v>106</v>
      </c>
      <c r="B11" s="9"/>
      <c r="C11" s="7"/>
      <c r="D11" s="108" t="s">
        <v>68</v>
      </c>
      <c r="E11" s="109">
        <v>50</v>
      </c>
      <c r="F11" s="70"/>
      <c r="G11" s="74" t="s">
        <v>19</v>
      </c>
      <c r="H11" s="76"/>
      <c r="I11" s="74"/>
      <c r="J11" s="4" t="s">
        <v>67</v>
      </c>
      <c r="K11" s="6">
        <v>-500</v>
      </c>
      <c r="L11" s="4"/>
      <c r="M11" s="79" t="s">
        <v>100</v>
      </c>
      <c r="N11" s="81">
        <v>27.93</v>
      </c>
    </row>
    <row r="12" spans="1:14" x14ac:dyDescent="0.25">
      <c r="A12" s="7" t="s">
        <v>112</v>
      </c>
      <c r="B12" s="9">
        <v>123.91</v>
      </c>
      <c r="C12" s="7"/>
      <c r="D12" s="108" t="s">
        <v>108</v>
      </c>
      <c r="E12" s="109">
        <v>24.98</v>
      </c>
      <c r="F12" s="70"/>
      <c r="G12" s="74" t="s">
        <v>20</v>
      </c>
      <c r="H12" s="76"/>
      <c r="I12" s="74"/>
      <c r="J12" s="4"/>
      <c r="K12" s="6"/>
      <c r="L12" s="4"/>
      <c r="M12" s="79" t="s">
        <v>91</v>
      </c>
      <c r="N12" s="81">
        <v>25.7</v>
      </c>
    </row>
    <row r="13" spans="1:14" x14ac:dyDescent="0.25">
      <c r="A13" s="7" t="s">
        <v>123</v>
      </c>
      <c r="B13" s="9">
        <v>150</v>
      </c>
      <c r="C13" s="7"/>
      <c r="D13" s="108" t="s">
        <v>49</v>
      </c>
      <c r="E13" s="109">
        <v>9.99</v>
      </c>
      <c r="F13" s="70"/>
      <c r="G13" s="74"/>
      <c r="H13" s="76"/>
      <c r="I13" s="74"/>
      <c r="J13" s="4"/>
      <c r="K13" s="6"/>
      <c r="L13" s="4"/>
      <c r="M13" s="79" t="s">
        <v>110</v>
      </c>
      <c r="N13" s="81">
        <v>10</v>
      </c>
    </row>
    <row r="14" spans="1:14" x14ac:dyDescent="0.25">
      <c r="A14" s="7" t="s">
        <v>124</v>
      </c>
      <c r="B14" s="9">
        <v>200</v>
      </c>
      <c r="C14" s="7"/>
      <c r="D14" s="108" t="s">
        <v>50</v>
      </c>
      <c r="E14" s="109">
        <v>6.99</v>
      </c>
      <c r="F14" s="70"/>
      <c r="G14" s="74"/>
      <c r="H14" s="76"/>
      <c r="I14" s="74"/>
      <c r="J14" s="4"/>
      <c r="K14" s="6"/>
      <c r="L14" s="4"/>
      <c r="M14" s="79" t="s">
        <v>100</v>
      </c>
      <c r="N14" s="81">
        <v>29.93</v>
      </c>
    </row>
    <row r="15" spans="1:14" x14ac:dyDescent="0.25">
      <c r="A15" s="7" t="s">
        <v>67</v>
      </c>
      <c r="B15" s="9">
        <v>500</v>
      </c>
      <c r="C15" s="7"/>
      <c r="D15" s="108" t="s">
        <v>131</v>
      </c>
      <c r="E15" s="109">
        <v>1.99</v>
      </c>
      <c r="F15" s="70"/>
      <c r="G15" s="74"/>
      <c r="H15" s="76"/>
      <c r="I15" s="74"/>
      <c r="J15" s="4"/>
      <c r="K15" s="6"/>
      <c r="L15" s="4"/>
      <c r="M15" s="79" t="s">
        <v>132</v>
      </c>
      <c r="N15" s="81">
        <v>4.2</v>
      </c>
    </row>
    <row r="16" spans="1:14" x14ac:dyDescent="0.25">
      <c r="A16" s="7" t="s">
        <v>136</v>
      </c>
      <c r="B16" s="9">
        <v>20</v>
      </c>
      <c r="C16" s="7"/>
      <c r="D16" s="108" t="s">
        <v>51</v>
      </c>
      <c r="E16" s="109">
        <v>6.99</v>
      </c>
      <c r="F16" s="70"/>
      <c r="G16" s="74"/>
      <c r="H16" s="76"/>
      <c r="I16" s="74"/>
      <c r="J16" s="4"/>
      <c r="K16" s="6"/>
      <c r="L16" s="4"/>
      <c r="M16" s="79" t="s">
        <v>91</v>
      </c>
      <c r="N16" s="81">
        <v>16.5</v>
      </c>
    </row>
    <row r="17" spans="1:14" x14ac:dyDescent="0.25">
      <c r="A17" s="7" t="s">
        <v>130</v>
      </c>
      <c r="B17" s="9">
        <v>50</v>
      </c>
      <c r="C17" s="7"/>
      <c r="D17" s="108" t="s">
        <v>52</v>
      </c>
      <c r="E17" s="109">
        <v>69.819999999999993</v>
      </c>
      <c r="F17" s="70"/>
      <c r="G17" s="74"/>
      <c r="H17" s="76"/>
      <c r="I17" s="74"/>
      <c r="J17" s="4"/>
      <c r="K17" s="6"/>
      <c r="L17" s="4"/>
      <c r="M17" s="79" t="s">
        <v>133</v>
      </c>
      <c r="N17" s="81">
        <v>20.399999999999999</v>
      </c>
    </row>
    <row r="18" spans="1:14" x14ac:dyDescent="0.25">
      <c r="A18" s="7" t="s">
        <v>143</v>
      </c>
      <c r="B18" s="9">
        <v>7.72</v>
      </c>
      <c r="C18" s="7"/>
      <c r="D18" s="108" t="s">
        <v>53</v>
      </c>
      <c r="E18" s="109">
        <v>17.989999999999998</v>
      </c>
      <c r="F18" s="70"/>
      <c r="G18" s="74"/>
      <c r="H18" s="76"/>
      <c r="I18" s="74"/>
      <c r="J18" s="4"/>
      <c r="K18" s="6"/>
      <c r="L18" s="4"/>
      <c r="M18" s="79" t="s">
        <v>73</v>
      </c>
      <c r="N18" s="81">
        <v>4.8</v>
      </c>
    </row>
    <row r="19" spans="1:14" x14ac:dyDescent="0.25">
      <c r="A19" s="7" t="s">
        <v>129</v>
      </c>
      <c r="B19" s="9">
        <v>50</v>
      </c>
      <c r="C19" s="7"/>
      <c r="D19" s="70" t="s">
        <v>59</v>
      </c>
      <c r="E19" s="72">
        <v>21.99</v>
      </c>
      <c r="F19" s="70"/>
      <c r="G19" s="74"/>
      <c r="H19" s="76"/>
      <c r="I19" s="74"/>
      <c r="J19" s="4"/>
      <c r="K19" s="6"/>
      <c r="L19" s="4"/>
      <c r="M19" s="79" t="s">
        <v>114</v>
      </c>
      <c r="N19" s="81">
        <v>8.8000000000000007</v>
      </c>
    </row>
    <row r="20" spans="1:14" x14ac:dyDescent="0.25">
      <c r="A20" s="8" t="s">
        <v>27</v>
      </c>
      <c r="B20" s="31">
        <f>SUM(B10:B19)</f>
        <v>3204.72</v>
      </c>
      <c r="C20" s="7"/>
      <c r="D20" s="70" t="s">
        <v>85</v>
      </c>
      <c r="E20" s="72">
        <v>6.15</v>
      </c>
      <c r="F20" s="70"/>
      <c r="G20" s="75" t="s">
        <v>27</v>
      </c>
      <c r="H20" s="77">
        <f>SUM(H10:H19)</f>
        <v>0</v>
      </c>
      <c r="I20" s="74"/>
      <c r="J20" s="5" t="s">
        <v>27</v>
      </c>
      <c r="K20" s="78">
        <f>SUM(K10:K19)</f>
        <v>-320</v>
      </c>
      <c r="L20" s="4"/>
      <c r="M20" s="79" t="s">
        <v>115</v>
      </c>
      <c r="N20" s="81">
        <v>9</v>
      </c>
    </row>
    <row r="21" spans="1:14" x14ac:dyDescent="0.25">
      <c r="A21" s="7"/>
      <c r="B21" s="7"/>
      <c r="C21" s="7"/>
      <c r="D21" s="70" t="s">
        <v>111</v>
      </c>
      <c r="E21" s="72">
        <v>26</v>
      </c>
      <c r="F21" s="70"/>
      <c r="G21" s="74"/>
      <c r="H21" s="74"/>
      <c r="I21" s="74"/>
      <c r="J21" s="4"/>
      <c r="K21" s="4"/>
      <c r="L21" s="4"/>
      <c r="M21" s="79" t="s">
        <v>116</v>
      </c>
      <c r="N21" s="81">
        <v>14.52</v>
      </c>
    </row>
    <row r="22" spans="1:14" x14ac:dyDescent="0.25">
      <c r="A22" s="7"/>
      <c r="B22" s="7"/>
      <c r="C22" s="7"/>
      <c r="D22" s="70" t="s">
        <v>62</v>
      </c>
      <c r="E22" s="72">
        <v>71.91</v>
      </c>
      <c r="F22" s="70"/>
      <c r="G22" s="74"/>
      <c r="H22" s="74"/>
      <c r="I22" s="74"/>
      <c r="J22" s="4"/>
      <c r="K22" s="4"/>
      <c r="L22" s="4"/>
      <c r="M22" s="79" t="s">
        <v>117</v>
      </c>
      <c r="N22" s="81">
        <v>26.91</v>
      </c>
    </row>
    <row r="23" spans="1:14" x14ac:dyDescent="0.25">
      <c r="A23" s="7"/>
      <c r="B23" s="7"/>
      <c r="C23" s="7"/>
      <c r="D23" s="70" t="s">
        <v>64</v>
      </c>
      <c r="E23" s="72">
        <v>97.99</v>
      </c>
      <c r="F23" s="70"/>
      <c r="G23" s="74"/>
      <c r="H23" s="74"/>
      <c r="I23" s="74"/>
      <c r="J23" s="4"/>
      <c r="K23" s="4"/>
      <c r="L23" s="4"/>
      <c r="M23" s="79" t="s">
        <v>118</v>
      </c>
      <c r="N23" s="81">
        <v>29.9</v>
      </c>
    </row>
    <row r="24" spans="1:14" x14ac:dyDescent="0.25">
      <c r="A24" s="7"/>
      <c r="B24" s="7"/>
      <c r="C24" s="7"/>
      <c r="D24" s="70" t="s">
        <v>89</v>
      </c>
      <c r="E24" s="72">
        <v>601.77</v>
      </c>
      <c r="F24" s="70"/>
      <c r="G24" s="74"/>
      <c r="H24" s="74"/>
      <c r="I24" s="74"/>
      <c r="J24" s="4"/>
      <c r="K24" s="4"/>
      <c r="L24" s="4"/>
      <c r="M24" s="79" t="s">
        <v>119</v>
      </c>
      <c r="N24" s="81">
        <v>121.69</v>
      </c>
    </row>
    <row r="25" spans="1:14" x14ac:dyDescent="0.25">
      <c r="A25" s="7"/>
      <c r="B25" s="7"/>
      <c r="C25" s="7"/>
      <c r="D25" s="70" t="s">
        <v>113</v>
      </c>
      <c r="E25" s="72">
        <v>29.98</v>
      </c>
      <c r="F25" s="70"/>
      <c r="G25" s="74"/>
      <c r="H25" s="74"/>
      <c r="I25" s="74"/>
      <c r="J25" s="4"/>
      <c r="K25" s="4"/>
      <c r="L25" s="4"/>
      <c r="M25" s="79" t="s">
        <v>120</v>
      </c>
      <c r="N25" s="81">
        <v>7.89</v>
      </c>
    </row>
    <row r="26" spans="1:14" x14ac:dyDescent="0.25">
      <c r="A26" s="7"/>
      <c r="B26" s="7"/>
      <c r="C26" s="7"/>
      <c r="D26" s="70" t="s">
        <v>101</v>
      </c>
      <c r="E26" s="72">
        <v>12.14</v>
      </c>
      <c r="F26" s="70"/>
      <c r="G26" s="74"/>
      <c r="H26" s="74"/>
      <c r="I26" s="74"/>
      <c r="J26" s="4"/>
      <c r="K26" s="4"/>
      <c r="L26" s="4"/>
      <c r="M26" s="79" t="s">
        <v>121</v>
      </c>
      <c r="N26" s="81">
        <v>260</v>
      </c>
    </row>
    <row r="27" spans="1:14" x14ac:dyDescent="0.25">
      <c r="A27" s="7"/>
      <c r="B27" s="7"/>
      <c r="C27" s="7"/>
      <c r="D27" s="70" t="s">
        <v>97</v>
      </c>
      <c r="E27" s="72">
        <v>5</v>
      </c>
      <c r="F27" s="70"/>
      <c r="G27" s="74"/>
      <c r="H27" s="74"/>
      <c r="I27" s="74"/>
      <c r="J27" s="4"/>
      <c r="K27" s="4"/>
      <c r="L27" s="4"/>
      <c r="M27" s="79" t="s">
        <v>122</v>
      </c>
      <c r="N27" s="81">
        <v>18.36</v>
      </c>
    </row>
    <row r="28" spans="1:14" x14ac:dyDescent="0.25">
      <c r="A28" s="7"/>
      <c r="B28" s="7"/>
      <c r="C28" s="7"/>
      <c r="D28" s="70"/>
      <c r="E28" s="70"/>
      <c r="F28" s="70"/>
      <c r="G28" s="74"/>
      <c r="H28" s="74"/>
      <c r="I28" s="74"/>
      <c r="J28" s="4"/>
      <c r="K28" s="4"/>
      <c r="L28" s="4"/>
      <c r="M28" s="79" t="s">
        <v>100</v>
      </c>
      <c r="N28" s="81">
        <v>24.98</v>
      </c>
    </row>
    <row r="29" spans="1:14" x14ac:dyDescent="0.25">
      <c r="A29" s="7"/>
      <c r="B29" s="7"/>
      <c r="C29" s="7"/>
      <c r="D29" s="70"/>
      <c r="E29" s="70"/>
      <c r="F29" s="70"/>
      <c r="G29" s="74"/>
      <c r="H29" s="74"/>
      <c r="I29" s="74"/>
      <c r="J29" s="4"/>
      <c r="K29" s="4"/>
      <c r="L29" s="4"/>
      <c r="M29" s="79" t="s">
        <v>125</v>
      </c>
      <c r="N29" s="81">
        <v>13.76</v>
      </c>
    </row>
    <row r="30" spans="1:14" x14ac:dyDescent="0.25">
      <c r="A30" s="7"/>
      <c r="B30" s="7"/>
      <c r="C30" s="7"/>
      <c r="D30" s="70"/>
      <c r="E30" s="72"/>
      <c r="F30" s="70"/>
      <c r="G30" s="74"/>
      <c r="H30" s="74"/>
      <c r="I30" s="74"/>
      <c r="J30" s="4"/>
      <c r="K30" s="4"/>
      <c r="L30" s="4"/>
      <c r="M30" s="79" t="s">
        <v>120</v>
      </c>
      <c r="N30" s="81">
        <v>40.43</v>
      </c>
    </row>
    <row r="31" spans="1:14" x14ac:dyDescent="0.25">
      <c r="A31" s="7"/>
      <c r="B31" s="7"/>
      <c r="C31" s="7"/>
      <c r="D31" s="70"/>
      <c r="E31" s="72"/>
      <c r="F31" s="70"/>
      <c r="G31" s="74"/>
      <c r="H31" s="74"/>
      <c r="I31" s="74"/>
      <c r="J31" s="4"/>
      <c r="K31" s="4"/>
      <c r="L31" s="4"/>
      <c r="M31" s="79" t="s">
        <v>127</v>
      </c>
      <c r="N31" s="81">
        <v>66.5</v>
      </c>
    </row>
    <row r="32" spans="1:14" x14ac:dyDescent="0.25">
      <c r="A32" s="7"/>
      <c r="B32" s="7"/>
      <c r="C32" s="7"/>
      <c r="D32" s="70"/>
      <c r="E32" s="70"/>
      <c r="F32" s="70"/>
      <c r="G32" s="74"/>
      <c r="H32" s="74"/>
      <c r="I32" s="74"/>
      <c r="J32" s="4"/>
      <c r="K32" s="4"/>
      <c r="L32" s="4"/>
      <c r="M32" s="79" t="s">
        <v>126</v>
      </c>
      <c r="N32" s="81">
        <v>74.599999999999994</v>
      </c>
    </row>
    <row r="33" spans="1:14" x14ac:dyDescent="0.25">
      <c r="A33" s="7"/>
      <c r="B33" s="7"/>
      <c r="C33" s="7"/>
      <c r="D33" s="70"/>
      <c r="E33" s="72"/>
      <c r="F33" s="70"/>
      <c r="G33" s="74"/>
      <c r="H33" s="74"/>
      <c r="I33" s="74"/>
      <c r="J33" s="4"/>
      <c r="K33" s="4"/>
      <c r="L33" s="4"/>
      <c r="M33" s="79" t="s">
        <v>91</v>
      </c>
      <c r="N33" s="81">
        <v>19</v>
      </c>
    </row>
    <row r="34" spans="1:14" x14ac:dyDescent="0.25">
      <c r="A34" s="7"/>
      <c r="B34" s="7"/>
      <c r="C34" s="7"/>
      <c r="D34" s="70"/>
      <c r="E34" s="72"/>
      <c r="F34" s="70"/>
      <c r="G34" s="74"/>
      <c r="H34" s="74"/>
      <c r="I34" s="74"/>
      <c r="J34" s="4"/>
      <c r="K34" s="4"/>
      <c r="L34" s="4"/>
      <c r="M34" s="79" t="s">
        <v>128</v>
      </c>
      <c r="N34" s="81">
        <v>120</v>
      </c>
    </row>
    <row r="35" spans="1:14" x14ac:dyDescent="0.25">
      <c r="A35" s="7"/>
      <c r="B35" s="7"/>
      <c r="C35" s="7"/>
      <c r="D35" s="70"/>
      <c r="E35" s="72"/>
      <c r="F35" s="70"/>
      <c r="G35" s="74"/>
      <c r="H35" s="74"/>
      <c r="I35" s="74"/>
      <c r="J35" s="4"/>
      <c r="K35" s="4"/>
      <c r="L35" s="4"/>
      <c r="M35" s="79" t="s">
        <v>93</v>
      </c>
      <c r="N35" s="81">
        <v>113.18</v>
      </c>
    </row>
    <row r="36" spans="1:14" x14ac:dyDescent="0.25">
      <c r="A36" s="7"/>
      <c r="B36" s="7"/>
      <c r="C36" s="7"/>
      <c r="D36" s="70"/>
      <c r="E36" s="72"/>
      <c r="F36" s="70"/>
      <c r="G36" s="74"/>
      <c r="H36" s="74"/>
      <c r="I36" s="74"/>
      <c r="J36" s="4"/>
      <c r="K36" s="4"/>
      <c r="L36" s="4"/>
      <c r="M36" s="79" t="s">
        <v>134</v>
      </c>
      <c r="N36" s="81">
        <v>60.31</v>
      </c>
    </row>
    <row r="37" spans="1:14" x14ac:dyDescent="0.25">
      <c r="A37" s="7"/>
      <c r="B37" s="7"/>
      <c r="C37" s="7"/>
      <c r="D37" s="70"/>
      <c r="E37" s="72"/>
      <c r="F37" s="70"/>
      <c r="G37" s="74"/>
      <c r="H37" s="74"/>
      <c r="I37" s="74"/>
      <c r="J37" s="4"/>
      <c r="K37" s="4"/>
      <c r="L37" s="4"/>
      <c r="M37" s="79" t="s">
        <v>135</v>
      </c>
      <c r="N37" s="81">
        <v>109</v>
      </c>
    </row>
    <row r="38" spans="1:14" x14ac:dyDescent="0.25">
      <c r="A38" s="7"/>
      <c r="B38" s="7"/>
      <c r="C38" s="7"/>
      <c r="D38" s="70"/>
      <c r="E38" s="72"/>
      <c r="F38" s="70"/>
      <c r="G38" s="74"/>
      <c r="H38" s="74"/>
      <c r="I38" s="74"/>
      <c r="J38" s="4"/>
      <c r="K38" s="4"/>
      <c r="L38" s="4"/>
      <c r="M38" s="79" t="s">
        <v>137</v>
      </c>
      <c r="N38" s="81">
        <v>20</v>
      </c>
    </row>
    <row r="39" spans="1:14" x14ac:dyDescent="0.25">
      <c r="A39" s="7"/>
      <c r="B39" s="7"/>
      <c r="C39" s="7"/>
      <c r="D39" s="70"/>
      <c r="E39" s="72"/>
      <c r="F39" s="70"/>
      <c r="G39" s="74"/>
      <c r="H39" s="74"/>
      <c r="I39" s="74"/>
      <c r="J39" s="4"/>
      <c r="K39" s="4"/>
      <c r="L39" s="4"/>
      <c r="M39" s="79" t="s">
        <v>138</v>
      </c>
      <c r="N39" s="81">
        <v>184.7</v>
      </c>
    </row>
    <row r="40" spans="1:14" x14ac:dyDescent="0.25">
      <c r="A40" s="7"/>
      <c r="B40" s="7"/>
      <c r="C40" s="7"/>
      <c r="D40" s="70"/>
      <c r="E40" s="72"/>
      <c r="F40" s="70"/>
      <c r="G40" s="74"/>
      <c r="H40" s="74"/>
      <c r="I40" s="74"/>
      <c r="J40" s="4"/>
      <c r="K40" s="4"/>
      <c r="L40" s="4"/>
      <c r="M40" s="79" t="s">
        <v>140</v>
      </c>
      <c r="N40" s="81">
        <v>6.68</v>
      </c>
    </row>
    <row r="41" spans="1:14" x14ac:dyDescent="0.25">
      <c r="A41" s="7"/>
      <c r="B41" s="7"/>
      <c r="C41" s="7"/>
      <c r="D41" s="70"/>
      <c r="E41" s="72"/>
      <c r="F41" s="70"/>
      <c r="G41" s="74"/>
      <c r="H41" s="74"/>
      <c r="I41" s="74"/>
      <c r="J41" s="4"/>
      <c r="K41" s="4"/>
      <c r="L41" s="4"/>
      <c r="M41" s="79" t="s">
        <v>118</v>
      </c>
      <c r="N41" s="81">
        <v>30</v>
      </c>
    </row>
    <row r="42" spans="1:14" x14ac:dyDescent="0.25">
      <c r="A42" s="7"/>
      <c r="B42" s="7"/>
      <c r="C42" s="7"/>
      <c r="D42" s="70"/>
      <c r="E42" s="72"/>
      <c r="F42" s="70"/>
      <c r="G42" s="74"/>
      <c r="H42" s="74"/>
      <c r="I42" s="74"/>
      <c r="J42" s="4"/>
      <c r="K42" s="4"/>
      <c r="L42" s="4"/>
      <c r="M42" s="79" t="s">
        <v>139</v>
      </c>
      <c r="N42" s="81">
        <v>54.97</v>
      </c>
    </row>
    <row r="43" spans="1:14" x14ac:dyDescent="0.25">
      <c r="A43" s="7"/>
      <c r="B43" s="7"/>
      <c r="C43" s="7"/>
      <c r="D43" s="70"/>
      <c r="E43" s="72"/>
      <c r="F43" s="70"/>
      <c r="G43" s="74"/>
      <c r="H43" s="74"/>
      <c r="I43" s="74"/>
      <c r="J43" s="4"/>
      <c r="K43" s="4"/>
      <c r="L43" s="4"/>
      <c r="M43" s="79" t="s">
        <v>141</v>
      </c>
      <c r="N43" s="81">
        <v>82.45</v>
      </c>
    </row>
    <row r="44" spans="1:14" x14ac:dyDescent="0.25">
      <c r="A44" s="7"/>
      <c r="B44" s="7"/>
      <c r="C44" s="7"/>
      <c r="D44" s="70"/>
      <c r="E44" s="72"/>
      <c r="F44" s="70"/>
      <c r="G44" s="74"/>
      <c r="H44" s="74"/>
      <c r="I44" s="74"/>
      <c r="J44" s="4"/>
      <c r="K44" s="4"/>
      <c r="L44" s="4"/>
      <c r="M44" s="79" t="s">
        <v>142</v>
      </c>
      <c r="N44" s="81">
        <v>148.75</v>
      </c>
    </row>
    <row r="45" spans="1:14" x14ac:dyDescent="0.25">
      <c r="A45" s="7"/>
      <c r="B45" s="7"/>
      <c r="C45" s="7"/>
      <c r="D45" s="70"/>
      <c r="E45" s="72"/>
      <c r="F45" s="70"/>
      <c r="G45" s="74"/>
      <c r="H45" s="74"/>
      <c r="I45" s="74"/>
      <c r="J45" s="4"/>
      <c r="K45" s="4"/>
      <c r="L45" s="4"/>
      <c r="M45" s="79" t="s">
        <v>144</v>
      </c>
      <c r="N45" s="81">
        <v>18.3</v>
      </c>
    </row>
    <row r="46" spans="1:14" x14ac:dyDescent="0.25">
      <c r="A46" s="7"/>
      <c r="B46" s="7"/>
      <c r="C46" s="7"/>
      <c r="D46" s="70"/>
      <c r="E46" s="72"/>
      <c r="F46" s="70"/>
      <c r="G46" s="74"/>
      <c r="H46" s="74"/>
      <c r="I46" s="74"/>
      <c r="J46" s="4"/>
      <c r="K46" s="4"/>
      <c r="L46" s="4"/>
      <c r="M46" s="79"/>
      <c r="N46" s="79"/>
    </row>
    <row r="47" spans="1:14" x14ac:dyDescent="0.25">
      <c r="A47" s="7"/>
      <c r="B47" s="7"/>
      <c r="C47" s="7"/>
      <c r="D47" s="70"/>
      <c r="E47" s="72"/>
      <c r="F47" s="70"/>
      <c r="G47" s="74"/>
      <c r="H47" s="74"/>
      <c r="I47" s="74"/>
      <c r="J47" s="4"/>
      <c r="K47" s="4"/>
      <c r="L47" s="4"/>
      <c r="M47" s="79"/>
      <c r="N47" s="79"/>
    </row>
    <row r="48" spans="1:14" x14ac:dyDescent="0.25">
      <c r="A48" s="7"/>
      <c r="B48" s="7"/>
      <c r="C48" s="7"/>
      <c r="D48" s="70"/>
      <c r="E48" s="72"/>
      <c r="F48" s="70"/>
      <c r="G48" s="74"/>
      <c r="H48" s="74"/>
      <c r="I48" s="74"/>
      <c r="J48" s="4"/>
      <c r="K48" s="4"/>
      <c r="L48" s="4"/>
      <c r="M48" s="79"/>
      <c r="N48" s="81"/>
    </row>
    <row r="49" spans="1:14" x14ac:dyDescent="0.25">
      <c r="A49" s="7"/>
      <c r="B49" s="7"/>
      <c r="C49" s="7"/>
      <c r="D49" s="70"/>
      <c r="E49" s="72"/>
      <c r="F49" s="70"/>
      <c r="G49" s="74"/>
      <c r="H49" s="74"/>
      <c r="I49" s="74"/>
      <c r="J49" s="4"/>
      <c r="K49" s="4"/>
      <c r="L49" s="4"/>
      <c r="M49" s="80" t="s">
        <v>27</v>
      </c>
      <c r="N49" s="82">
        <f>SUM(N10:N48)</f>
        <v>1874.1400000000003</v>
      </c>
    </row>
    <row r="50" spans="1:14" x14ac:dyDescent="0.25">
      <c r="A50" s="7"/>
      <c r="B50" s="7"/>
      <c r="C50" s="7"/>
      <c r="D50" s="71" t="s">
        <v>27</v>
      </c>
      <c r="E50" s="73">
        <f>SUM(E10:E49)</f>
        <v>1331.68</v>
      </c>
      <c r="F50" s="70"/>
      <c r="G50" s="74"/>
      <c r="H50" s="74"/>
      <c r="I50" s="74"/>
      <c r="J50" s="4"/>
      <c r="K50" s="4"/>
      <c r="L50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C0D8-8ADD-46E5-B944-0286BD0B256F}">
  <sheetPr codeName="Feuil5">
    <tabColor rgb="FF00B0F0"/>
  </sheetPr>
  <dimension ref="A1:O57"/>
  <sheetViews>
    <sheetView showGridLines="0" zoomScaleNormal="100" workbookViewId="0">
      <selection activeCell="N3" sqref="N3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1" spans="1:15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</row>
    <row r="2" spans="1:15" x14ac:dyDescent="0.25">
      <c r="A2" s="70"/>
      <c r="B2" s="71" t="s">
        <v>0</v>
      </c>
      <c r="C2" s="70"/>
      <c r="D2" s="70"/>
      <c r="E2" s="71" t="s">
        <v>1</v>
      </c>
      <c r="F2" s="70"/>
      <c r="G2" s="70"/>
      <c r="H2" s="71" t="s">
        <v>2</v>
      </c>
      <c r="I2" s="70"/>
      <c r="J2" s="70"/>
      <c r="K2" s="71" t="s">
        <v>3</v>
      </c>
      <c r="L2" s="70"/>
      <c r="M2" s="70"/>
      <c r="N2" s="71" t="s">
        <v>4</v>
      </c>
      <c r="O2" s="70"/>
    </row>
    <row r="3" spans="1:15" x14ac:dyDescent="0.25">
      <c r="A3" s="70"/>
      <c r="B3" s="72">
        <f>SUM(B10:B15)</f>
        <v>3566.69</v>
      </c>
      <c r="C3" s="70"/>
      <c r="D3" s="70"/>
      <c r="E3" s="72">
        <f>SUM(E10:E28)</f>
        <v>605.22</v>
      </c>
      <c r="F3" s="70"/>
      <c r="G3" s="70"/>
      <c r="H3" s="72">
        <f>SUM(H10:H15)</f>
        <v>0</v>
      </c>
      <c r="I3" s="70"/>
      <c r="J3" s="70"/>
      <c r="K3" s="72">
        <f>SUM(K10:K15)</f>
        <v>831</v>
      </c>
      <c r="L3" s="70"/>
      <c r="M3" s="70"/>
      <c r="N3" s="72">
        <f>SUM(N10:N29)</f>
        <v>1912.1499999999999</v>
      </c>
      <c r="O3" s="70"/>
    </row>
    <row r="4" spans="1:15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</row>
    <row r="5" spans="1:15" x14ac:dyDescent="0.25">
      <c r="A5" s="70"/>
      <c r="B5" s="71" t="s">
        <v>5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</row>
    <row r="6" spans="1:15" x14ac:dyDescent="0.25">
      <c r="A6" s="70"/>
      <c r="B6" s="72">
        <f>B3-E3-H3-K3-N3</f>
        <v>218.32000000000039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</row>
    <row r="7" spans="1:15" x14ac:dyDescent="0.25">
      <c r="A7" s="111"/>
      <c r="B7" s="111"/>
      <c r="C7" s="111"/>
      <c r="D7" s="115"/>
      <c r="E7" s="115"/>
      <c r="F7" s="115"/>
      <c r="G7" s="119"/>
      <c r="H7" s="119"/>
      <c r="I7" s="119"/>
      <c r="J7" s="120"/>
      <c r="K7" s="120"/>
      <c r="L7" s="120"/>
      <c r="M7" s="124"/>
      <c r="N7" s="124"/>
      <c r="O7" s="124"/>
    </row>
    <row r="8" spans="1:15" x14ac:dyDescent="0.25">
      <c r="A8" s="111" t="s">
        <v>6</v>
      </c>
      <c r="B8" s="111"/>
      <c r="C8" s="111"/>
      <c r="D8" s="115" t="s">
        <v>7</v>
      </c>
      <c r="E8" s="115"/>
      <c r="F8" s="115"/>
      <c r="G8" s="119" t="s">
        <v>8</v>
      </c>
      <c r="H8" s="119"/>
      <c r="I8" s="119"/>
      <c r="J8" s="120" t="s">
        <v>9</v>
      </c>
      <c r="K8" s="120"/>
      <c r="L8" s="120"/>
      <c r="M8" s="124" t="s">
        <v>4</v>
      </c>
      <c r="N8" s="124"/>
      <c r="O8" s="124"/>
    </row>
    <row r="9" spans="1:15" x14ac:dyDescent="0.25">
      <c r="A9" s="112" t="s">
        <v>10</v>
      </c>
      <c r="B9" s="112" t="s">
        <v>11</v>
      </c>
      <c r="C9" s="112"/>
      <c r="D9" s="116" t="s">
        <v>10</v>
      </c>
      <c r="E9" s="116" t="s">
        <v>11</v>
      </c>
      <c r="F9" s="116"/>
      <c r="G9" s="88" t="s">
        <v>10</v>
      </c>
      <c r="H9" s="88" t="s">
        <v>11</v>
      </c>
      <c r="I9" s="88"/>
      <c r="J9" s="121" t="s">
        <v>10</v>
      </c>
      <c r="K9" s="121" t="s">
        <v>11</v>
      </c>
      <c r="L9" s="121"/>
      <c r="M9" s="125" t="s">
        <v>10</v>
      </c>
      <c r="N9" s="125" t="s">
        <v>11</v>
      </c>
      <c r="O9" s="124"/>
    </row>
    <row r="10" spans="1:15" x14ac:dyDescent="0.25">
      <c r="A10" s="128">
        <v>46113</v>
      </c>
      <c r="B10" s="113">
        <v>2109.79</v>
      </c>
      <c r="C10" s="111"/>
      <c r="D10" s="115" t="s">
        <v>107</v>
      </c>
      <c r="E10" s="117">
        <v>270</v>
      </c>
      <c r="F10" s="115"/>
      <c r="G10" s="119" t="s">
        <v>18</v>
      </c>
      <c r="H10" s="89"/>
      <c r="I10" s="119"/>
      <c r="J10" s="120" t="s">
        <v>152</v>
      </c>
      <c r="K10" s="122">
        <v>551</v>
      </c>
      <c r="L10" s="120"/>
      <c r="M10" s="124" t="s">
        <v>148</v>
      </c>
      <c r="N10" s="126">
        <v>18.3</v>
      </c>
      <c r="O10" s="124"/>
    </row>
    <row r="11" spans="1:15" x14ac:dyDescent="0.25">
      <c r="A11" s="111" t="s">
        <v>147</v>
      </c>
      <c r="B11" s="113"/>
      <c r="C11" s="111"/>
      <c r="D11" s="115" t="s">
        <v>68</v>
      </c>
      <c r="E11" s="117">
        <v>50</v>
      </c>
      <c r="F11" s="115"/>
      <c r="G11" s="119" t="s">
        <v>19</v>
      </c>
      <c r="H11" s="89"/>
      <c r="I11" s="119"/>
      <c r="J11" s="120" t="s">
        <v>153</v>
      </c>
      <c r="K11" s="122">
        <v>180</v>
      </c>
      <c r="L11" s="120"/>
      <c r="M11" s="124" t="s">
        <v>145</v>
      </c>
      <c r="N11" s="126">
        <v>40</v>
      </c>
      <c r="O11" s="124"/>
    </row>
    <row r="12" spans="1:15" x14ac:dyDescent="0.25">
      <c r="A12" s="111" t="s">
        <v>149</v>
      </c>
      <c r="B12" s="113">
        <v>4.0599999999999996</v>
      </c>
      <c r="C12" s="111"/>
      <c r="D12" s="115" t="s">
        <v>108</v>
      </c>
      <c r="E12" s="117">
        <v>24.98</v>
      </c>
      <c r="F12" s="115"/>
      <c r="G12" s="119" t="s">
        <v>20</v>
      </c>
      <c r="H12" s="89"/>
      <c r="I12" s="119"/>
      <c r="J12" s="120" t="s">
        <v>154</v>
      </c>
      <c r="K12" s="122">
        <v>500</v>
      </c>
      <c r="L12" s="120"/>
      <c r="M12" s="124" t="s">
        <v>145</v>
      </c>
      <c r="N12" s="126">
        <v>200</v>
      </c>
      <c r="O12" s="124"/>
    </row>
    <row r="13" spans="1:15" x14ac:dyDescent="0.25">
      <c r="A13" s="111" t="s">
        <v>150</v>
      </c>
      <c r="B13" s="113">
        <v>213.49</v>
      </c>
      <c r="C13" s="111"/>
      <c r="D13" s="115" t="s">
        <v>49</v>
      </c>
      <c r="E13" s="117">
        <v>9.99</v>
      </c>
      <c r="F13" s="115"/>
      <c r="G13" s="119"/>
      <c r="H13" s="89"/>
      <c r="I13" s="119"/>
      <c r="J13" s="120" t="s">
        <v>160</v>
      </c>
      <c r="K13" s="122">
        <v>-400</v>
      </c>
      <c r="L13" s="120"/>
      <c r="M13" s="124" t="s">
        <v>146</v>
      </c>
      <c r="N13" s="126">
        <v>3</v>
      </c>
      <c r="O13" s="124"/>
    </row>
    <row r="14" spans="1:15" x14ac:dyDescent="0.25">
      <c r="A14" s="111" t="s">
        <v>151</v>
      </c>
      <c r="B14" s="113">
        <v>839.35</v>
      </c>
      <c r="C14" s="111"/>
      <c r="D14" s="115" t="s">
        <v>50</v>
      </c>
      <c r="E14" s="117">
        <v>6.99</v>
      </c>
      <c r="F14" s="115"/>
      <c r="G14" s="119"/>
      <c r="H14" s="89"/>
      <c r="I14" s="119"/>
      <c r="J14" s="120"/>
      <c r="K14" s="122"/>
      <c r="L14" s="120"/>
      <c r="M14" s="124" t="s">
        <v>66</v>
      </c>
      <c r="N14" s="126">
        <v>10</v>
      </c>
      <c r="O14" s="124"/>
    </row>
    <row r="15" spans="1:15" x14ac:dyDescent="0.25">
      <c r="A15" s="111" t="s">
        <v>161</v>
      </c>
      <c r="B15" s="113">
        <v>400</v>
      </c>
      <c r="C15" s="111"/>
      <c r="D15" s="115" t="s">
        <v>131</v>
      </c>
      <c r="E15" s="117">
        <v>1.99</v>
      </c>
      <c r="F15" s="115"/>
      <c r="G15" s="119"/>
      <c r="H15" s="89"/>
      <c r="I15" s="119"/>
      <c r="J15" s="120"/>
      <c r="K15" s="122"/>
      <c r="L15" s="120"/>
      <c r="M15" s="124" t="s">
        <v>155</v>
      </c>
      <c r="N15" s="126">
        <v>482</v>
      </c>
      <c r="O15" s="124"/>
    </row>
    <row r="16" spans="1:15" x14ac:dyDescent="0.25">
      <c r="A16" s="112" t="s">
        <v>27</v>
      </c>
      <c r="B16" s="114">
        <f>SUM(B10:B15)</f>
        <v>3566.69</v>
      </c>
      <c r="C16" s="111"/>
      <c r="D16" s="115" t="s">
        <v>51</v>
      </c>
      <c r="E16" s="117">
        <v>6.99</v>
      </c>
      <c r="F16" s="115"/>
      <c r="G16" s="88" t="s">
        <v>27</v>
      </c>
      <c r="H16" s="90">
        <f>SUM(H10:H15)</f>
        <v>0</v>
      </c>
      <c r="I16" s="119"/>
      <c r="J16" s="121" t="s">
        <v>27</v>
      </c>
      <c r="K16" s="123">
        <f>SUM(K10:K15)</f>
        <v>831</v>
      </c>
      <c r="L16" s="120"/>
      <c r="M16" s="124" t="s">
        <v>156</v>
      </c>
      <c r="N16" s="126">
        <v>107.76</v>
      </c>
      <c r="O16" s="124"/>
    </row>
    <row r="17" spans="1:15" x14ac:dyDescent="0.25">
      <c r="A17" s="111"/>
      <c r="B17" s="111"/>
      <c r="C17" s="111"/>
      <c r="D17" s="115" t="s">
        <v>52</v>
      </c>
      <c r="E17" s="117">
        <v>68.39</v>
      </c>
      <c r="F17" s="115"/>
      <c r="G17" s="119"/>
      <c r="H17" s="119"/>
      <c r="I17" s="119"/>
      <c r="J17" s="120"/>
      <c r="K17" s="120"/>
      <c r="L17" s="120"/>
      <c r="M17" s="124" t="s">
        <v>158</v>
      </c>
      <c r="N17" s="126">
        <v>5.0999999999999996</v>
      </c>
      <c r="O17" s="124"/>
    </row>
    <row r="18" spans="1:15" x14ac:dyDescent="0.25">
      <c r="A18" s="111"/>
      <c r="B18" s="111"/>
      <c r="C18" s="111"/>
      <c r="D18" s="115" t="s">
        <v>53</v>
      </c>
      <c r="E18" s="117">
        <v>17.989999999999998</v>
      </c>
      <c r="F18" s="115"/>
      <c r="G18" s="119"/>
      <c r="H18" s="119"/>
      <c r="I18" s="119"/>
      <c r="J18" s="120"/>
      <c r="K18" s="120"/>
      <c r="L18" s="120"/>
      <c r="M18" s="124" t="s">
        <v>91</v>
      </c>
      <c r="N18" s="126">
        <v>39.4</v>
      </c>
      <c r="O18" s="124"/>
    </row>
    <row r="19" spans="1:15" x14ac:dyDescent="0.25">
      <c r="A19" s="111"/>
      <c r="B19" s="111"/>
      <c r="C19" s="111"/>
      <c r="D19" s="115" t="s">
        <v>59</v>
      </c>
      <c r="E19" s="117">
        <v>21.99</v>
      </c>
      <c r="F19" s="115"/>
      <c r="G19" s="119"/>
      <c r="H19" s="119"/>
      <c r="I19" s="119"/>
      <c r="J19" s="120"/>
      <c r="K19" s="120"/>
      <c r="L19" s="120"/>
      <c r="M19" s="124" t="s">
        <v>159</v>
      </c>
      <c r="N19" s="126">
        <v>30</v>
      </c>
      <c r="O19" s="124"/>
    </row>
    <row r="20" spans="1:15" x14ac:dyDescent="0.25">
      <c r="A20" s="111"/>
      <c r="B20" s="111"/>
      <c r="C20" s="111"/>
      <c r="D20" s="115" t="s">
        <v>111</v>
      </c>
      <c r="E20" s="117">
        <v>6.88</v>
      </c>
      <c r="F20" s="115"/>
      <c r="G20" s="119"/>
      <c r="H20" s="119"/>
      <c r="I20" s="119"/>
      <c r="J20" s="120"/>
      <c r="K20" s="120"/>
      <c r="L20" s="120"/>
      <c r="M20" s="124" t="s">
        <v>163</v>
      </c>
      <c r="N20" s="126">
        <v>33.25</v>
      </c>
      <c r="O20" s="124"/>
    </row>
    <row r="21" spans="1:15" x14ac:dyDescent="0.25">
      <c r="A21" s="111"/>
      <c r="B21" s="111"/>
      <c r="C21" s="111"/>
      <c r="D21" s="115" t="s">
        <v>62</v>
      </c>
      <c r="E21" s="117">
        <v>71.91</v>
      </c>
      <c r="F21" s="115"/>
      <c r="G21" s="119"/>
      <c r="H21" s="119"/>
      <c r="I21" s="119"/>
      <c r="J21" s="120"/>
      <c r="K21" s="120"/>
      <c r="L21" s="120"/>
      <c r="M21" s="124" t="s">
        <v>162</v>
      </c>
      <c r="N21" s="126">
        <v>150</v>
      </c>
      <c r="O21" s="124"/>
    </row>
    <row r="22" spans="1:15" x14ac:dyDescent="0.25">
      <c r="A22" s="111"/>
      <c r="B22" s="111"/>
      <c r="C22" s="111"/>
      <c r="D22" s="115" t="s">
        <v>57</v>
      </c>
      <c r="E22" s="117">
        <v>29.98</v>
      </c>
      <c r="F22" s="115"/>
      <c r="G22" s="119"/>
      <c r="H22" s="119"/>
      <c r="I22" s="119"/>
      <c r="J22" s="120"/>
      <c r="K22" s="120"/>
      <c r="L22" s="120"/>
      <c r="M22" s="124" t="s">
        <v>164</v>
      </c>
      <c r="N22" s="126">
        <v>464.35</v>
      </c>
      <c r="O22" s="124"/>
    </row>
    <row r="23" spans="1:15" x14ac:dyDescent="0.25">
      <c r="A23" s="111"/>
      <c r="B23" s="111"/>
      <c r="C23" s="111"/>
      <c r="D23" s="115" t="s">
        <v>157</v>
      </c>
      <c r="E23" s="117">
        <v>5</v>
      </c>
      <c r="F23" s="115"/>
      <c r="G23" s="119"/>
      <c r="H23" s="119"/>
      <c r="I23" s="119"/>
      <c r="J23" s="120"/>
      <c r="K23" s="120"/>
      <c r="L23" s="120"/>
      <c r="M23" s="124" t="s">
        <v>165</v>
      </c>
      <c r="N23" s="126">
        <v>50</v>
      </c>
      <c r="O23" s="124"/>
    </row>
    <row r="24" spans="1:15" x14ac:dyDescent="0.25">
      <c r="A24" s="111"/>
      <c r="B24" s="111"/>
      <c r="C24" s="111"/>
      <c r="D24" s="115" t="s">
        <v>101</v>
      </c>
      <c r="E24" s="117">
        <v>12.14</v>
      </c>
      <c r="F24" s="115"/>
      <c r="G24" s="119"/>
      <c r="H24" s="119"/>
      <c r="I24" s="119"/>
      <c r="J24" s="120"/>
      <c r="K24" s="120"/>
      <c r="L24" s="120"/>
      <c r="M24" s="124" t="s">
        <v>145</v>
      </c>
      <c r="N24" s="126">
        <v>100</v>
      </c>
      <c r="O24" s="124"/>
    </row>
    <row r="25" spans="1:15" x14ac:dyDescent="0.25">
      <c r="A25" s="111"/>
      <c r="B25" s="111"/>
      <c r="C25" s="111"/>
      <c r="D25" s="115"/>
      <c r="E25" s="117"/>
      <c r="F25" s="115"/>
      <c r="G25" s="119"/>
      <c r="H25" s="119"/>
      <c r="I25" s="119"/>
      <c r="J25" s="120"/>
      <c r="K25" s="120"/>
      <c r="L25" s="120"/>
      <c r="M25" s="124" t="s">
        <v>159</v>
      </c>
      <c r="N25" s="126">
        <v>30</v>
      </c>
      <c r="O25" s="124"/>
    </row>
    <row r="26" spans="1:15" x14ac:dyDescent="0.25">
      <c r="A26" s="111"/>
      <c r="B26" s="111"/>
      <c r="C26" s="111"/>
      <c r="D26" s="115"/>
      <c r="E26" s="117"/>
      <c r="F26" s="115"/>
      <c r="G26" s="119"/>
      <c r="H26" s="119"/>
      <c r="I26" s="119"/>
      <c r="J26" s="120"/>
      <c r="K26" s="120"/>
      <c r="L26" s="120"/>
      <c r="M26" s="124" t="s">
        <v>166</v>
      </c>
      <c r="N26" s="126">
        <v>116.99</v>
      </c>
      <c r="O26" s="124"/>
    </row>
    <row r="27" spans="1:15" x14ac:dyDescent="0.25">
      <c r="A27" s="111"/>
      <c r="B27" s="111"/>
      <c r="C27" s="111"/>
      <c r="D27" s="115"/>
      <c r="E27" s="117"/>
      <c r="F27" s="115"/>
      <c r="G27" s="119"/>
      <c r="H27" s="119"/>
      <c r="I27" s="119"/>
      <c r="J27" s="120"/>
      <c r="K27" s="120"/>
      <c r="L27" s="120"/>
      <c r="M27" s="124" t="s">
        <v>167</v>
      </c>
      <c r="N27" s="126">
        <v>32</v>
      </c>
      <c r="O27" s="124"/>
    </row>
    <row r="28" spans="1:15" x14ac:dyDescent="0.25">
      <c r="A28" s="111"/>
      <c r="B28" s="111"/>
      <c r="C28" s="111"/>
      <c r="D28" s="115"/>
      <c r="E28" s="117"/>
      <c r="F28" s="115"/>
      <c r="G28" s="119"/>
      <c r="H28" s="119"/>
      <c r="I28" s="119"/>
      <c r="J28" s="120"/>
      <c r="K28" s="120"/>
      <c r="L28" s="120"/>
      <c r="M28" s="124"/>
      <c r="N28" s="126"/>
      <c r="O28" s="124"/>
    </row>
    <row r="29" spans="1:15" x14ac:dyDescent="0.25">
      <c r="A29" s="111"/>
      <c r="B29" s="111"/>
      <c r="C29" s="111"/>
      <c r="D29" s="116" t="s">
        <v>27</v>
      </c>
      <c r="E29" s="118">
        <f>SUM(E10:E28)</f>
        <v>605.22</v>
      </c>
      <c r="F29" s="115"/>
      <c r="G29" s="119"/>
      <c r="H29" s="119"/>
      <c r="I29" s="119"/>
      <c r="J29" s="120"/>
      <c r="K29" s="120"/>
      <c r="L29" s="120"/>
      <c r="M29" s="124"/>
      <c r="N29" s="126"/>
      <c r="O29" s="124"/>
    </row>
    <row r="30" spans="1:15" x14ac:dyDescent="0.25">
      <c r="A30" s="111"/>
      <c r="B30" s="111"/>
      <c r="C30" s="111"/>
      <c r="F30" s="115"/>
      <c r="G30" s="119"/>
      <c r="H30" s="119"/>
      <c r="I30" s="119"/>
      <c r="J30" s="120"/>
      <c r="K30" s="120"/>
      <c r="L30" s="120"/>
      <c r="M30" s="124"/>
      <c r="N30" s="124"/>
      <c r="O30" s="124"/>
    </row>
    <row r="31" spans="1:15" x14ac:dyDescent="0.25">
      <c r="M31" s="124"/>
      <c r="N31" s="124"/>
      <c r="O31" s="124"/>
    </row>
    <row r="32" spans="1:15" x14ac:dyDescent="0.25">
      <c r="M32" s="124"/>
      <c r="N32" s="124"/>
      <c r="O32" s="124"/>
    </row>
    <row r="33" spans="13:15" x14ac:dyDescent="0.25">
      <c r="M33" s="124"/>
      <c r="N33" s="124"/>
      <c r="O33" s="124"/>
    </row>
    <row r="34" spans="13:15" x14ac:dyDescent="0.25">
      <c r="M34" s="124"/>
      <c r="N34" s="124"/>
      <c r="O34" s="124"/>
    </row>
    <row r="35" spans="13:15" x14ac:dyDescent="0.25">
      <c r="M35" s="124"/>
      <c r="N35" s="124"/>
      <c r="O35" s="124"/>
    </row>
    <row r="36" spans="13:15" x14ac:dyDescent="0.25">
      <c r="M36" s="124"/>
      <c r="N36" s="124"/>
      <c r="O36" s="124"/>
    </row>
    <row r="37" spans="13:15" x14ac:dyDescent="0.25">
      <c r="M37" s="124"/>
      <c r="N37" s="124"/>
      <c r="O37" s="124"/>
    </row>
    <row r="38" spans="13:15" x14ac:dyDescent="0.25">
      <c r="M38" s="124"/>
      <c r="N38" s="124"/>
      <c r="O38" s="124"/>
    </row>
    <row r="39" spans="13:15" x14ac:dyDescent="0.25">
      <c r="M39" s="124"/>
      <c r="N39" s="124"/>
      <c r="O39" s="124"/>
    </row>
    <row r="40" spans="13:15" x14ac:dyDescent="0.25">
      <c r="M40" s="124"/>
      <c r="N40" s="124"/>
      <c r="O40" s="124"/>
    </row>
    <row r="41" spans="13:15" x14ac:dyDescent="0.25">
      <c r="M41" s="124"/>
      <c r="N41" s="124"/>
      <c r="O41" s="124"/>
    </row>
    <row r="42" spans="13:15" x14ac:dyDescent="0.25">
      <c r="M42" s="124"/>
      <c r="N42" s="124"/>
      <c r="O42" s="124"/>
    </row>
    <row r="43" spans="13:15" x14ac:dyDescent="0.25">
      <c r="M43" s="124"/>
      <c r="N43" s="124"/>
      <c r="O43" s="124"/>
    </row>
    <row r="44" spans="13:15" x14ac:dyDescent="0.25">
      <c r="M44" s="124"/>
      <c r="N44" s="124"/>
      <c r="O44" s="124"/>
    </row>
    <row r="45" spans="13:15" x14ac:dyDescent="0.25">
      <c r="M45" s="124"/>
      <c r="N45" s="124"/>
      <c r="O45" s="124"/>
    </row>
    <row r="46" spans="13:15" x14ac:dyDescent="0.25">
      <c r="M46" s="124"/>
      <c r="N46" s="124"/>
      <c r="O46" s="124"/>
    </row>
    <row r="47" spans="13:15" x14ac:dyDescent="0.25">
      <c r="M47" s="124"/>
      <c r="N47" s="124"/>
      <c r="O47" s="124"/>
    </row>
    <row r="48" spans="13:15" x14ac:dyDescent="0.25">
      <c r="M48" s="124"/>
      <c r="N48" s="124"/>
      <c r="O48" s="124"/>
    </row>
    <row r="49" spans="13:15" x14ac:dyDescent="0.25">
      <c r="M49" s="124"/>
      <c r="N49" s="124"/>
      <c r="O49" s="124"/>
    </row>
    <row r="50" spans="13:15" x14ac:dyDescent="0.25">
      <c r="M50" s="124"/>
      <c r="N50" s="124"/>
      <c r="O50" s="124"/>
    </row>
    <row r="51" spans="13:15" x14ac:dyDescent="0.25">
      <c r="M51" s="124"/>
      <c r="N51" s="124"/>
      <c r="O51" s="124"/>
    </row>
    <row r="52" spans="13:15" x14ac:dyDescent="0.25">
      <c r="M52" s="124"/>
      <c r="N52" s="124"/>
      <c r="O52" s="124"/>
    </row>
    <row r="53" spans="13:15" x14ac:dyDescent="0.25">
      <c r="M53" s="124"/>
      <c r="N53" s="124"/>
      <c r="O53" s="124"/>
    </row>
    <row r="54" spans="13:15" x14ac:dyDescent="0.25">
      <c r="M54" s="124"/>
      <c r="N54" s="124"/>
      <c r="O54" s="124"/>
    </row>
    <row r="55" spans="13:15" x14ac:dyDescent="0.25">
      <c r="M55" s="124"/>
      <c r="N55" s="124"/>
      <c r="O55" s="124"/>
    </row>
    <row r="56" spans="13:15" x14ac:dyDescent="0.25">
      <c r="M56" s="124"/>
      <c r="N56" s="124"/>
      <c r="O56" s="124"/>
    </row>
    <row r="57" spans="13:15" x14ac:dyDescent="0.25">
      <c r="M57" s="125" t="s">
        <v>27</v>
      </c>
      <c r="N57" s="127">
        <f>SUM(N10:N29)</f>
        <v>1912.1499999999999</v>
      </c>
      <c r="O57" s="1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309CB-4DDE-43F2-950F-5DF8B3D2C4D3}">
  <sheetPr codeName="Feuil6">
    <tabColor rgb="FF002060"/>
  </sheetPr>
  <dimension ref="A1:O49"/>
  <sheetViews>
    <sheetView showGridLines="0" topLeftCell="A4" zoomScaleNormal="100" workbookViewId="0">
      <selection activeCell="K32" sqref="K32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1" spans="1:15" x14ac:dyDescent="0.25">
      <c r="A1" s="124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</row>
    <row r="2" spans="1:15" ht="31.5" x14ac:dyDescent="0.5">
      <c r="A2" s="124"/>
      <c r="B2" s="148" t="s">
        <v>0</v>
      </c>
      <c r="C2" s="124"/>
      <c r="D2" s="124"/>
      <c r="E2" s="148" t="s">
        <v>1</v>
      </c>
      <c r="F2" s="124"/>
      <c r="G2" s="124"/>
      <c r="H2" s="148" t="s">
        <v>2</v>
      </c>
      <c r="I2" s="124"/>
      <c r="J2" s="124"/>
      <c r="K2" s="148" t="s">
        <v>3</v>
      </c>
      <c r="L2" s="124"/>
      <c r="M2" s="124"/>
      <c r="N2" s="148" t="s">
        <v>4</v>
      </c>
      <c r="O2" s="124"/>
    </row>
    <row r="3" spans="1:15" x14ac:dyDescent="0.25">
      <c r="A3" s="124"/>
      <c r="B3" s="126">
        <f>SUM(B10:B21)</f>
        <v>3145.58</v>
      </c>
      <c r="C3" s="124"/>
      <c r="D3" s="124"/>
      <c r="E3" s="126">
        <f>SUM(E10:E27)</f>
        <v>499.78000000000003</v>
      </c>
      <c r="F3" s="124"/>
      <c r="G3" s="124"/>
      <c r="H3" s="126">
        <f>SUM(H10:H21)</f>
        <v>0</v>
      </c>
      <c r="I3" s="124"/>
      <c r="J3" s="124"/>
      <c r="K3" s="126">
        <f>SUM(K10:K17)</f>
        <v>100</v>
      </c>
      <c r="L3" s="124"/>
      <c r="M3" s="124"/>
      <c r="N3" s="126">
        <f>SUM(N10:N37)</f>
        <v>1551.3899999999999</v>
      </c>
      <c r="O3" s="124"/>
    </row>
    <row r="4" spans="1:15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</row>
    <row r="5" spans="1:15" ht="31.5" x14ac:dyDescent="0.5">
      <c r="A5" s="124"/>
      <c r="B5" s="148" t="s">
        <v>5</v>
      </c>
      <c r="C5" s="124"/>
      <c r="D5" s="124"/>
      <c r="E5" s="148" t="s">
        <v>190</v>
      </c>
      <c r="F5" s="124"/>
      <c r="G5" s="124"/>
      <c r="H5" s="124"/>
      <c r="I5" s="124"/>
      <c r="J5" s="124"/>
      <c r="K5" s="124"/>
      <c r="L5" s="124"/>
      <c r="M5" s="124"/>
      <c r="N5" s="124"/>
      <c r="O5" s="124"/>
    </row>
    <row r="6" spans="1:15" x14ac:dyDescent="0.25">
      <c r="A6" s="124"/>
      <c r="B6" s="126">
        <f>B3-E3-H3-K3-N3</f>
        <v>994.40999999999985</v>
      </c>
      <c r="C6" s="124"/>
      <c r="D6" s="124"/>
      <c r="E6" s="149">
        <f>SUM(E3+N3)</f>
        <v>2051.17</v>
      </c>
      <c r="F6" s="124"/>
      <c r="G6" s="124"/>
      <c r="H6" s="124"/>
      <c r="I6" s="124"/>
      <c r="J6" s="124"/>
      <c r="K6" s="124"/>
      <c r="L6" s="124"/>
      <c r="M6" s="124"/>
      <c r="N6" s="124"/>
      <c r="O6" s="124"/>
    </row>
    <row r="7" spans="1:15" x14ac:dyDescent="0.25">
      <c r="A7" s="129"/>
      <c r="B7" s="129"/>
      <c r="C7" s="129"/>
      <c r="D7" s="139"/>
      <c r="E7" s="139"/>
      <c r="F7" s="139"/>
      <c r="G7" s="137"/>
      <c r="H7" s="137"/>
      <c r="I7" s="137"/>
      <c r="J7" s="74"/>
      <c r="K7" s="74"/>
      <c r="L7" s="74"/>
      <c r="M7" s="10"/>
      <c r="N7" s="10"/>
      <c r="O7" s="10"/>
    </row>
    <row r="8" spans="1:15" ht="31.5" x14ac:dyDescent="0.5">
      <c r="A8" s="144" t="s">
        <v>6</v>
      </c>
      <c r="B8" s="129"/>
      <c r="C8" s="129"/>
      <c r="D8" s="145" t="s">
        <v>7</v>
      </c>
      <c r="E8" s="139"/>
      <c r="F8" s="139"/>
      <c r="G8" s="146" t="s">
        <v>8</v>
      </c>
      <c r="H8" s="137"/>
      <c r="I8" s="137"/>
      <c r="J8" s="147" t="s">
        <v>9</v>
      </c>
      <c r="K8" s="74"/>
      <c r="L8" s="74"/>
      <c r="M8" s="26" t="s">
        <v>4</v>
      </c>
      <c r="N8" s="10"/>
      <c r="O8" s="10"/>
    </row>
    <row r="9" spans="1:15" x14ac:dyDescent="0.25">
      <c r="A9" s="130" t="s">
        <v>10</v>
      </c>
      <c r="B9" s="130" t="s">
        <v>11</v>
      </c>
      <c r="C9" s="130"/>
      <c r="D9" s="140" t="s">
        <v>10</v>
      </c>
      <c r="E9" s="140" t="s">
        <v>11</v>
      </c>
      <c r="F9" s="140"/>
      <c r="G9" s="94" t="s">
        <v>10</v>
      </c>
      <c r="H9" s="94" t="s">
        <v>11</v>
      </c>
      <c r="I9" s="94"/>
      <c r="J9" s="75" t="s">
        <v>10</v>
      </c>
      <c r="K9" s="75" t="s">
        <v>11</v>
      </c>
      <c r="L9" s="75"/>
      <c r="M9" s="11" t="s">
        <v>10</v>
      </c>
      <c r="N9" s="11" t="s">
        <v>11</v>
      </c>
      <c r="O9" s="10"/>
    </row>
    <row r="10" spans="1:15" x14ac:dyDescent="0.25">
      <c r="A10" s="142">
        <v>46140</v>
      </c>
      <c r="B10" s="131">
        <v>2141.1799999999998</v>
      </c>
      <c r="C10" s="129"/>
      <c r="D10" s="139" t="s">
        <v>59</v>
      </c>
      <c r="E10" s="141">
        <v>21.99</v>
      </c>
      <c r="F10" s="139"/>
      <c r="G10" s="137" t="s">
        <v>18</v>
      </c>
      <c r="H10" s="95"/>
      <c r="I10" s="137"/>
      <c r="J10" s="74" t="s">
        <v>67</v>
      </c>
      <c r="K10" s="76">
        <v>150</v>
      </c>
      <c r="L10" s="74"/>
      <c r="M10" s="10" t="s">
        <v>168</v>
      </c>
      <c r="N10" s="12">
        <v>1.6</v>
      </c>
      <c r="O10" s="10"/>
    </row>
    <row r="11" spans="1:15" x14ac:dyDescent="0.25">
      <c r="A11" s="129" t="s">
        <v>177</v>
      </c>
      <c r="B11" s="131">
        <v>100</v>
      </c>
      <c r="C11" s="129"/>
      <c r="D11" s="139" t="s">
        <v>174</v>
      </c>
      <c r="E11" s="141">
        <v>29.98</v>
      </c>
      <c r="F11" s="139"/>
      <c r="G11" s="137" t="s">
        <v>178</v>
      </c>
      <c r="H11" s="95"/>
      <c r="I11" s="137"/>
      <c r="J11" s="74" t="s">
        <v>67</v>
      </c>
      <c r="K11" s="76">
        <v>400</v>
      </c>
      <c r="L11" s="74"/>
      <c r="M11" s="10" t="s">
        <v>169</v>
      </c>
      <c r="N11" s="12">
        <v>5</v>
      </c>
      <c r="O11" s="10"/>
    </row>
    <row r="12" spans="1:15" x14ac:dyDescent="0.25">
      <c r="A12" s="129" t="s">
        <v>179</v>
      </c>
      <c r="B12" s="131">
        <v>100</v>
      </c>
      <c r="C12" s="129"/>
      <c r="D12" s="139" t="s">
        <v>176</v>
      </c>
      <c r="E12" s="141">
        <v>270</v>
      </c>
      <c r="F12" s="139"/>
      <c r="G12" s="137" t="s">
        <v>20</v>
      </c>
      <c r="H12" s="95"/>
      <c r="I12" s="137"/>
      <c r="J12" s="74" t="s">
        <v>175</v>
      </c>
      <c r="K12" s="76">
        <v>150</v>
      </c>
      <c r="L12" s="74"/>
      <c r="M12" s="10" t="s">
        <v>170</v>
      </c>
      <c r="N12" s="12">
        <v>9.5</v>
      </c>
      <c r="O12" s="10"/>
    </row>
    <row r="13" spans="1:15" x14ac:dyDescent="0.25">
      <c r="A13" s="129" t="s">
        <v>179</v>
      </c>
      <c r="B13" s="131">
        <v>150</v>
      </c>
      <c r="C13" s="129"/>
      <c r="D13" s="139" t="s">
        <v>174</v>
      </c>
      <c r="E13" s="141">
        <v>24.98</v>
      </c>
      <c r="F13" s="139"/>
      <c r="G13" s="137"/>
      <c r="H13" s="95"/>
      <c r="I13" s="137"/>
      <c r="J13" s="74" t="s">
        <v>87</v>
      </c>
      <c r="K13" s="76">
        <v>180</v>
      </c>
      <c r="L13" s="74"/>
      <c r="M13" s="10" t="s">
        <v>171</v>
      </c>
      <c r="N13" s="12">
        <v>28.13</v>
      </c>
      <c r="O13" s="10"/>
    </row>
    <row r="14" spans="1:15" x14ac:dyDescent="0.25">
      <c r="A14" s="129" t="s">
        <v>179</v>
      </c>
      <c r="B14" s="131">
        <v>300</v>
      </c>
      <c r="C14" s="129"/>
      <c r="D14" s="139" t="s">
        <v>62</v>
      </c>
      <c r="E14" s="141">
        <v>71.91</v>
      </c>
      <c r="F14" s="139"/>
      <c r="G14" s="137"/>
      <c r="H14" s="95"/>
      <c r="I14" s="137"/>
      <c r="J14" s="74" t="s">
        <v>67</v>
      </c>
      <c r="K14" s="76">
        <v>-100</v>
      </c>
      <c r="L14" s="74"/>
      <c r="M14" s="10" t="s">
        <v>98</v>
      </c>
      <c r="N14" s="12">
        <v>29.9</v>
      </c>
      <c r="O14" s="10"/>
    </row>
    <row r="15" spans="1:15" x14ac:dyDescent="0.25">
      <c r="A15" s="129" t="s">
        <v>62</v>
      </c>
      <c r="B15" s="131">
        <v>56.4</v>
      </c>
      <c r="C15" s="129"/>
      <c r="D15" s="139" t="s">
        <v>102</v>
      </c>
      <c r="E15" s="141">
        <v>1.99</v>
      </c>
      <c r="F15" s="139"/>
      <c r="G15" s="137"/>
      <c r="H15" s="95"/>
      <c r="I15" s="137"/>
      <c r="J15" s="74" t="s">
        <v>67</v>
      </c>
      <c r="K15" s="76">
        <v>-300</v>
      </c>
      <c r="L15" s="74"/>
      <c r="M15" s="10" t="s">
        <v>172</v>
      </c>
      <c r="N15" s="12">
        <v>99.98</v>
      </c>
      <c r="O15" s="10"/>
    </row>
    <row r="16" spans="1:15" x14ac:dyDescent="0.25">
      <c r="A16" s="129" t="s">
        <v>179</v>
      </c>
      <c r="B16" s="131">
        <v>230</v>
      </c>
      <c r="C16" s="129"/>
      <c r="D16" s="139" t="s">
        <v>157</v>
      </c>
      <c r="E16" s="141">
        <v>5</v>
      </c>
      <c r="F16" s="139"/>
      <c r="G16" s="137"/>
      <c r="H16" s="95"/>
      <c r="I16" s="137"/>
      <c r="J16" s="74" t="s">
        <v>67</v>
      </c>
      <c r="K16" s="76">
        <v>-230</v>
      </c>
      <c r="L16" s="74"/>
      <c r="M16" s="10" t="s">
        <v>60</v>
      </c>
      <c r="N16" s="12">
        <v>100</v>
      </c>
      <c r="O16" s="10"/>
    </row>
    <row r="17" spans="1:15" x14ac:dyDescent="0.25">
      <c r="A17" s="129" t="s">
        <v>189</v>
      </c>
      <c r="B17" s="131">
        <v>68</v>
      </c>
      <c r="C17" s="129"/>
      <c r="D17" s="139" t="s">
        <v>68</v>
      </c>
      <c r="E17" s="141">
        <v>50</v>
      </c>
      <c r="F17" s="139"/>
      <c r="G17" s="137"/>
      <c r="H17" s="95"/>
      <c r="I17" s="137"/>
      <c r="J17" s="74" t="s">
        <v>67</v>
      </c>
      <c r="K17" s="76">
        <v>-150</v>
      </c>
      <c r="L17" s="74"/>
      <c r="M17" s="10" t="s">
        <v>173</v>
      </c>
      <c r="N17" s="12">
        <v>314</v>
      </c>
      <c r="O17" s="10"/>
    </row>
    <row r="18" spans="1:15" x14ac:dyDescent="0.25">
      <c r="A18" s="129"/>
      <c r="B18" s="131"/>
      <c r="C18" s="129"/>
      <c r="D18" s="139"/>
      <c r="E18" s="141"/>
      <c r="F18" s="139"/>
      <c r="G18" s="137"/>
      <c r="H18" s="95"/>
      <c r="I18" s="137"/>
      <c r="J18" s="74"/>
      <c r="K18" s="76"/>
      <c r="L18" s="74"/>
      <c r="M18" s="10"/>
      <c r="N18" s="12"/>
      <c r="O18" s="10"/>
    </row>
    <row r="19" spans="1:15" x14ac:dyDescent="0.25">
      <c r="A19" s="129" t="s">
        <v>106</v>
      </c>
      <c r="B19" s="131"/>
      <c r="C19" s="129"/>
      <c r="D19" s="139" t="s">
        <v>182</v>
      </c>
      <c r="E19" s="141">
        <v>6.99</v>
      </c>
      <c r="F19" s="139"/>
      <c r="G19" s="137"/>
      <c r="H19" s="95"/>
      <c r="I19" s="137"/>
      <c r="J19" s="75" t="s">
        <v>27</v>
      </c>
      <c r="K19" s="77">
        <f>SUM(K10:K17)</f>
        <v>100</v>
      </c>
      <c r="L19" s="74"/>
      <c r="M19" s="10" t="s">
        <v>50</v>
      </c>
      <c r="N19" s="12">
        <v>94.64</v>
      </c>
      <c r="O19" s="10"/>
    </row>
    <row r="20" spans="1:15" x14ac:dyDescent="0.25">
      <c r="A20" s="129"/>
      <c r="B20" s="131"/>
      <c r="C20" s="129"/>
      <c r="D20" s="139" t="s">
        <v>51</v>
      </c>
      <c r="E20" s="141">
        <v>6.99</v>
      </c>
      <c r="F20" s="139"/>
      <c r="G20" s="137"/>
      <c r="H20" s="95"/>
      <c r="I20" s="137"/>
      <c r="J20" s="74"/>
      <c r="K20" s="74"/>
      <c r="L20" s="74"/>
      <c r="M20" s="10" t="s">
        <v>66</v>
      </c>
      <c r="N20" s="12">
        <v>10</v>
      </c>
      <c r="O20" s="10"/>
    </row>
    <row r="21" spans="1:15" x14ac:dyDescent="0.25">
      <c r="A21" s="129"/>
      <c r="B21" s="131"/>
      <c r="C21" s="129"/>
      <c r="D21" s="139" t="s">
        <v>82</v>
      </c>
      <c r="E21" s="141">
        <v>9.9499999999999993</v>
      </c>
      <c r="F21" s="139"/>
      <c r="G21" s="137"/>
      <c r="H21" s="95"/>
      <c r="I21" s="137"/>
      <c r="J21" s="74"/>
      <c r="K21" s="74"/>
      <c r="L21" s="74"/>
      <c r="M21" s="10" t="s">
        <v>178</v>
      </c>
      <c r="N21" s="12">
        <v>80.11</v>
      </c>
      <c r="O21" s="10"/>
    </row>
    <row r="22" spans="1:15" x14ac:dyDescent="0.25">
      <c r="A22" s="130" t="s">
        <v>27</v>
      </c>
      <c r="B22" s="132">
        <f>SUM(B10:B21)</f>
        <v>3145.58</v>
      </c>
      <c r="C22" s="129"/>
      <c r="D22" s="139"/>
      <c r="E22" s="141"/>
      <c r="F22" s="139"/>
      <c r="G22" s="94" t="s">
        <v>27</v>
      </c>
      <c r="H22" s="96">
        <f>SUM(H10:H21)</f>
        <v>0</v>
      </c>
      <c r="I22" s="137"/>
      <c r="J22" s="74"/>
      <c r="K22" s="74"/>
      <c r="L22" s="74"/>
      <c r="M22" s="10" t="s">
        <v>178</v>
      </c>
      <c r="N22" s="12">
        <v>80.77</v>
      </c>
      <c r="O22" s="10"/>
    </row>
    <row r="23" spans="1:15" x14ac:dyDescent="0.25">
      <c r="A23" s="129"/>
      <c r="B23" s="129"/>
      <c r="C23" s="129"/>
      <c r="D23" s="139"/>
      <c r="E23" s="141"/>
      <c r="F23" s="139"/>
      <c r="G23" s="137"/>
      <c r="H23" s="137"/>
      <c r="I23" s="137"/>
      <c r="J23" s="74"/>
      <c r="K23" s="74"/>
      <c r="L23" s="74"/>
      <c r="M23" s="10" t="s">
        <v>180</v>
      </c>
      <c r="N23" s="12">
        <v>16.3</v>
      </c>
      <c r="O23" s="10"/>
    </row>
    <row r="24" spans="1:15" x14ac:dyDescent="0.25">
      <c r="A24" s="129"/>
      <c r="B24" s="129"/>
      <c r="C24" s="129"/>
      <c r="D24" s="139"/>
      <c r="E24" s="141"/>
      <c r="F24" s="139"/>
      <c r="G24" s="137"/>
      <c r="H24" s="137"/>
      <c r="I24" s="137"/>
      <c r="J24" s="74"/>
      <c r="K24" s="74"/>
      <c r="L24" s="74"/>
      <c r="M24" s="10" t="s">
        <v>181</v>
      </c>
      <c r="N24" s="12">
        <v>13.05</v>
      </c>
      <c r="O24" s="10"/>
    </row>
    <row r="25" spans="1:15" x14ac:dyDescent="0.25">
      <c r="A25" s="129"/>
      <c r="B25" s="129"/>
      <c r="C25" s="129"/>
      <c r="D25" s="139"/>
      <c r="E25" s="141"/>
      <c r="F25" s="139"/>
      <c r="G25" s="137"/>
      <c r="H25" s="137"/>
      <c r="I25" s="137"/>
      <c r="J25" s="74"/>
      <c r="K25" s="74"/>
      <c r="L25" s="74"/>
      <c r="M25" s="10" t="s">
        <v>183</v>
      </c>
      <c r="N25" s="12">
        <v>15</v>
      </c>
      <c r="O25" s="10"/>
    </row>
    <row r="26" spans="1:15" x14ac:dyDescent="0.25">
      <c r="A26" s="129"/>
      <c r="B26" s="129"/>
      <c r="C26" s="129"/>
      <c r="D26" s="139"/>
      <c r="E26" s="141"/>
      <c r="F26" s="139"/>
      <c r="G26" s="137"/>
      <c r="H26" s="137"/>
      <c r="I26" s="137"/>
      <c r="J26" s="74"/>
      <c r="K26" s="74"/>
      <c r="L26" s="74"/>
      <c r="M26" s="10" t="s">
        <v>184</v>
      </c>
      <c r="N26" s="12">
        <v>1</v>
      </c>
      <c r="O26" s="10"/>
    </row>
    <row r="27" spans="1:15" x14ac:dyDescent="0.25">
      <c r="A27" s="129"/>
      <c r="B27" s="129"/>
      <c r="C27" s="129"/>
      <c r="D27" s="139"/>
      <c r="E27" s="141"/>
      <c r="F27" s="139"/>
      <c r="G27" s="137"/>
      <c r="H27" s="137"/>
      <c r="I27" s="137"/>
      <c r="J27" s="74"/>
      <c r="K27" s="74"/>
      <c r="L27" s="74"/>
      <c r="M27" s="10" t="s">
        <v>91</v>
      </c>
      <c r="N27" s="10">
        <v>16.5</v>
      </c>
      <c r="O27" s="10"/>
    </row>
    <row r="28" spans="1:15" x14ac:dyDescent="0.25">
      <c r="A28" s="129"/>
      <c r="B28" s="129"/>
      <c r="C28" s="129"/>
      <c r="D28" s="139"/>
      <c r="E28" s="139"/>
      <c r="F28" s="139"/>
      <c r="G28" s="137"/>
      <c r="H28" s="137"/>
      <c r="I28" s="137"/>
      <c r="J28" s="74"/>
      <c r="K28" s="74"/>
      <c r="L28" s="74"/>
      <c r="M28" s="10" t="s">
        <v>185</v>
      </c>
      <c r="N28" s="10">
        <v>18.5</v>
      </c>
      <c r="O28" s="10"/>
    </row>
    <row r="29" spans="1:15" x14ac:dyDescent="0.25">
      <c r="A29" s="129"/>
      <c r="B29" s="129"/>
      <c r="C29" s="129"/>
      <c r="D29" s="139"/>
      <c r="E29" s="139"/>
      <c r="F29" s="139"/>
      <c r="G29" s="137"/>
      <c r="H29" s="137"/>
      <c r="I29" s="137"/>
      <c r="J29" s="74"/>
      <c r="K29" s="74"/>
      <c r="L29" s="74"/>
      <c r="M29" s="10" t="s">
        <v>186</v>
      </c>
      <c r="N29" s="10">
        <v>23.32</v>
      </c>
      <c r="O29" s="10"/>
    </row>
    <row r="30" spans="1:15" x14ac:dyDescent="0.25">
      <c r="A30" s="129"/>
      <c r="B30" s="129"/>
      <c r="C30" s="129"/>
      <c r="D30" s="139"/>
      <c r="E30" s="139"/>
      <c r="F30" s="139"/>
      <c r="G30" s="137"/>
      <c r="H30" s="137"/>
      <c r="I30" s="137"/>
      <c r="M30" s="10" t="s">
        <v>187</v>
      </c>
      <c r="N30" s="10">
        <v>46.84</v>
      </c>
      <c r="O30" s="10"/>
    </row>
    <row r="31" spans="1:15" x14ac:dyDescent="0.25">
      <c r="A31" s="129"/>
      <c r="B31" s="129"/>
      <c r="C31" s="129"/>
      <c r="D31" s="139"/>
      <c r="E31" s="139"/>
      <c r="F31" s="139"/>
      <c r="G31" s="137"/>
      <c r="H31" s="137"/>
      <c r="I31" s="137"/>
      <c r="M31" s="10" t="s">
        <v>91</v>
      </c>
      <c r="N31" s="10">
        <v>117</v>
      </c>
      <c r="O31" s="10"/>
    </row>
    <row r="32" spans="1:15" x14ac:dyDescent="0.25">
      <c r="A32" s="129"/>
      <c r="B32" s="129"/>
      <c r="C32" s="129"/>
      <c r="D32" s="139"/>
      <c r="E32" s="139"/>
      <c r="F32" s="139"/>
      <c r="G32" s="137"/>
      <c r="H32" s="137"/>
      <c r="I32" s="137"/>
      <c r="M32" s="10" t="s">
        <v>145</v>
      </c>
      <c r="N32" s="10">
        <v>50</v>
      </c>
      <c r="O32" s="10"/>
    </row>
    <row r="33" spans="4:15" x14ac:dyDescent="0.25">
      <c r="D33" s="139"/>
      <c r="E33" s="139"/>
      <c r="F33" s="139"/>
      <c r="M33" s="10" t="s">
        <v>145</v>
      </c>
      <c r="N33" s="10">
        <v>230</v>
      </c>
      <c r="O33" s="10"/>
    </row>
    <row r="34" spans="4:15" x14ac:dyDescent="0.25">
      <c r="D34" s="139"/>
      <c r="E34" s="139"/>
      <c r="F34" s="139"/>
      <c r="M34" s="10" t="s">
        <v>50</v>
      </c>
      <c r="N34" s="10">
        <v>41.15</v>
      </c>
      <c r="O34" s="10"/>
    </row>
    <row r="35" spans="4:15" x14ac:dyDescent="0.25">
      <c r="D35" s="139"/>
      <c r="E35" s="139"/>
      <c r="F35" s="139"/>
      <c r="M35" s="10" t="s">
        <v>188</v>
      </c>
      <c r="N35" s="10">
        <v>70</v>
      </c>
      <c r="O35" s="10"/>
    </row>
    <row r="36" spans="4:15" x14ac:dyDescent="0.25">
      <c r="D36" s="139"/>
      <c r="E36" s="139"/>
      <c r="F36" s="139"/>
      <c r="M36" s="10" t="s">
        <v>91</v>
      </c>
      <c r="N36" s="10">
        <v>17.3</v>
      </c>
      <c r="O36" s="10"/>
    </row>
    <row r="37" spans="4:15" x14ac:dyDescent="0.25">
      <c r="D37" s="139"/>
      <c r="E37" s="139"/>
      <c r="F37" s="139"/>
      <c r="M37" s="10" t="s">
        <v>98</v>
      </c>
      <c r="N37" s="10">
        <v>21.8</v>
      </c>
      <c r="O37" s="10"/>
    </row>
    <row r="38" spans="4:15" x14ac:dyDescent="0.25">
      <c r="D38" s="139"/>
      <c r="E38" s="139"/>
      <c r="F38" s="139"/>
      <c r="M38" s="10"/>
      <c r="N38" s="10"/>
      <c r="O38" s="10"/>
    </row>
    <row r="39" spans="4:15" x14ac:dyDescent="0.25">
      <c r="D39" s="139"/>
      <c r="E39" s="139"/>
      <c r="F39" s="139"/>
      <c r="M39" s="10"/>
      <c r="N39" s="10"/>
      <c r="O39" s="10"/>
    </row>
    <row r="40" spans="4:15" x14ac:dyDescent="0.25">
      <c r="D40" s="139"/>
      <c r="E40" s="139"/>
      <c r="F40" s="139"/>
      <c r="M40" s="10"/>
      <c r="N40" s="10"/>
      <c r="O40" s="10"/>
    </row>
    <row r="41" spans="4:15" x14ac:dyDescent="0.25">
      <c r="D41" s="139"/>
      <c r="E41" s="139"/>
      <c r="F41" s="139"/>
      <c r="M41" s="10"/>
      <c r="N41" s="10"/>
      <c r="O41" s="10"/>
    </row>
    <row r="42" spans="4:15" x14ac:dyDescent="0.25">
      <c r="D42" s="139"/>
      <c r="E42" s="139"/>
      <c r="F42" s="139"/>
      <c r="M42" s="10"/>
      <c r="N42" s="10"/>
      <c r="O42" s="10"/>
    </row>
    <row r="43" spans="4:15" x14ac:dyDescent="0.25">
      <c r="D43" s="139"/>
      <c r="E43" s="139"/>
      <c r="F43" s="139"/>
      <c r="M43" s="10"/>
      <c r="N43" s="10"/>
      <c r="O43" s="10"/>
    </row>
    <row r="44" spans="4:15" x14ac:dyDescent="0.25">
      <c r="D44" s="139"/>
      <c r="E44" s="139"/>
      <c r="F44" s="139"/>
      <c r="M44" s="10"/>
      <c r="N44" s="10"/>
      <c r="O44" s="10"/>
    </row>
    <row r="45" spans="4:15" x14ac:dyDescent="0.25">
      <c r="D45" s="139"/>
      <c r="E45" s="139"/>
      <c r="F45" s="139"/>
      <c r="M45" s="10"/>
      <c r="N45" s="10"/>
      <c r="O45" s="10"/>
    </row>
    <row r="46" spans="4:15" x14ac:dyDescent="0.25">
      <c r="D46" s="139"/>
      <c r="E46" s="139"/>
      <c r="F46" s="139"/>
      <c r="M46" s="10"/>
      <c r="N46" s="10"/>
      <c r="O46" s="10"/>
    </row>
    <row r="47" spans="4:15" x14ac:dyDescent="0.25">
      <c r="D47" s="140" t="s">
        <v>27</v>
      </c>
      <c r="E47" s="143">
        <f>SUM(E10:E46)</f>
        <v>499.78000000000003</v>
      </c>
      <c r="F47" s="139"/>
      <c r="M47" s="10"/>
      <c r="N47" s="10"/>
      <c r="O47" s="10"/>
    </row>
    <row r="48" spans="4:15" x14ac:dyDescent="0.25">
      <c r="F48" s="150"/>
      <c r="M48" s="10"/>
      <c r="N48" s="10"/>
      <c r="O48" s="10"/>
    </row>
    <row r="49" spans="6:15" x14ac:dyDescent="0.25">
      <c r="F49" s="150"/>
      <c r="M49" s="11" t="s">
        <v>27</v>
      </c>
      <c r="N49" s="138">
        <f>SUM(N10:N37)</f>
        <v>1551.3899999999999</v>
      </c>
      <c r="O49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A444-0E8B-4DDF-A8EE-672CA5AD16CC}">
  <sheetPr codeName="Feuil7">
    <tabColor rgb="FF7030A0"/>
  </sheetPr>
  <dimension ref="A1:P49"/>
  <sheetViews>
    <sheetView showGridLines="0" zoomScaleNormal="100" workbookViewId="0">
      <selection activeCell="N3" sqref="N3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1" spans="1:16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</row>
    <row r="2" spans="1:16" ht="31.5" x14ac:dyDescent="0.5">
      <c r="A2" s="139"/>
      <c r="B2" s="160" t="s">
        <v>0</v>
      </c>
      <c r="C2" s="139"/>
      <c r="D2" s="139"/>
      <c r="E2" s="160" t="s">
        <v>1</v>
      </c>
      <c r="F2" s="139"/>
      <c r="G2" s="139"/>
      <c r="H2" s="160" t="s">
        <v>2</v>
      </c>
      <c r="I2" s="139"/>
      <c r="J2" s="139"/>
      <c r="K2" s="160" t="s">
        <v>3</v>
      </c>
      <c r="L2" s="139"/>
      <c r="M2" s="139"/>
      <c r="N2" s="160" t="s">
        <v>4</v>
      </c>
      <c r="O2" s="139"/>
      <c r="P2" s="139"/>
    </row>
    <row r="3" spans="1:16" x14ac:dyDescent="0.25">
      <c r="A3" s="139"/>
      <c r="B3" s="141">
        <f>SUM(B10:B17)</f>
        <v>1805.39</v>
      </c>
      <c r="C3" s="139"/>
      <c r="D3" s="139"/>
      <c r="E3" s="141">
        <f>SUM(E10:E26)</f>
        <v>522.74</v>
      </c>
      <c r="F3" s="139"/>
      <c r="G3" s="139"/>
      <c r="H3" s="141">
        <f>SUM(H10:H19)</f>
        <v>287</v>
      </c>
      <c r="I3" s="139"/>
      <c r="J3" s="139"/>
      <c r="K3" s="141">
        <f>SUM(K10:K19)</f>
        <v>-130</v>
      </c>
      <c r="L3" s="139"/>
      <c r="M3" s="139"/>
      <c r="N3" s="141">
        <f>SUM(N10:N45)</f>
        <v>811.68999999999994</v>
      </c>
      <c r="O3" s="139"/>
      <c r="P3" s="139"/>
    </row>
    <row r="4" spans="1:16" x14ac:dyDescent="0.25">
      <c r="A4" s="139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</row>
    <row r="5" spans="1:16" ht="31.5" x14ac:dyDescent="0.5">
      <c r="A5" s="139"/>
      <c r="B5" s="161" t="s">
        <v>5</v>
      </c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</row>
    <row r="6" spans="1:16" x14ac:dyDescent="0.25">
      <c r="A6" s="139"/>
      <c r="B6" s="141">
        <f>B18-E3-H3-(-K3)-N3</f>
        <v>53.96000000000015</v>
      </c>
      <c r="C6" s="139"/>
      <c r="D6" s="139"/>
      <c r="E6" s="167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</row>
    <row r="7" spans="1:16" x14ac:dyDescent="0.25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</row>
    <row r="8" spans="1:16" ht="31.5" x14ac:dyDescent="0.5">
      <c r="A8" s="163" t="s">
        <v>6</v>
      </c>
      <c r="B8" s="111"/>
      <c r="C8" s="111"/>
      <c r="D8" s="162" t="s">
        <v>7</v>
      </c>
      <c r="E8" s="133"/>
      <c r="F8" s="133"/>
      <c r="G8" s="164" t="s">
        <v>8</v>
      </c>
      <c r="H8" s="151"/>
      <c r="I8" s="151"/>
      <c r="J8" s="165" t="s">
        <v>9</v>
      </c>
      <c r="K8" s="155"/>
      <c r="L8" s="155"/>
      <c r="M8" s="166" t="s">
        <v>4</v>
      </c>
      <c r="N8" s="16"/>
      <c r="O8" s="16"/>
    </row>
    <row r="9" spans="1:16" x14ac:dyDescent="0.25">
      <c r="A9" s="112" t="s">
        <v>10</v>
      </c>
      <c r="B9" s="112" t="s">
        <v>11</v>
      </c>
      <c r="C9" s="112"/>
      <c r="D9" s="134" t="s">
        <v>10</v>
      </c>
      <c r="E9" s="134" t="s">
        <v>11</v>
      </c>
      <c r="F9" s="134"/>
      <c r="G9" s="152" t="s">
        <v>10</v>
      </c>
      <c r="H9" s="152" t="s">
        <v>11</v>
      </c>
      <c r="I9" s="152"/>
      <c r="J9" s="156" t="s">
        <v>10</v>
      </c>
      <c r="K9" s="156" t="s">
        <v>11</v>
      </c>
      <c r="L9" s="156"/>
      <c r="M9" s="17" t="s">
        <v>10</v>
      </c>
      <c r="N9" s="17" t="s">
        <v>11</v>
      </c>
      <c r="O9" s="16"/>
    </row>
    <row r="10" spans="1:16" x14ac:dyDescent="0.25">
      <c r="A10" s="128">
        <v>46171</v>
      </c>
      <c r="B10" s="113">
        <v>1293.3900000000001</v>
      </c>
      <c r="C10" s="111"/>
      <c r="D10" s="133" t="s">
        <v>59</v>
      </c>
      <c r="E10" s="135">
        <v>21.99</v>
      </c>
      <c r="F10" s="133"/>
      <c r="G10" s="151" t="s">
        <v>194</v>
      </c>
      <c r="H10" s="153">
        <v>287</v>
      </c>
      <c r="I10" s="151"/>
      <c r="J10" s="155" t="s">
        <v>67</v>
      </c>
      <c r="K10" s="157">
        <v>-280</v>
      </c>
      <c r="L10" s="155"/>
      <c r="M10" s="16" t="s">
        <v>181</v>
      </c>
      <c r="N10" s="18">
        <v>11</v>
      </c>
      <c r="O10" s="16"/>
    </row>
    <row r="11" spans="1:16" x14ac:dyDescent="0.25">
      <c r="A11" s="128" t="s">
        <v>67</v>
      </c>
      <c r="B11" s="113">
        <v>280</v>
      </c>
      <c r="C11" s="111"/>
      <c r="D11" s="133"/>
      <c r="E11" s="135"/>
      <c r="F11" s="133"/>
      <c r="G11" s="151"/>
      <c r="H11" s="153"/>
      <c r="I11" s="151"/>
      <c r="J11" s="155"/>
      <c r="K11" s="157"/>
      <c r="L11" s="155"/>
      <c r="M11" s="16"/>
      <c r="N11" s="18"/>
      <c r="O11" s="16"/>
    </row>
    <row r="12" spans="1:16" x14ac:dyDescent="0.25">
      <c r="A12" s="128" t="s">
        <v>67</v>
      </c>
      <c r="B12" s="113">
        <v>50</v>
      </c>
      <c r="C12" s="111"/>
      <c r="D12" s="133"/>
      <c r="E12" s="135"/>
      <c r="F12" s="133"/>
      <c r="G12" s="151"/>
      <c r="H12" s="153"/>
      <c r="I12" s="151"/>
      <c r="J12" s="155"/>
      <c r="K12" s="157"/>
      <c r="L12" s="155"/>
      <c r="M12" s="16"/>
      <c r="N12" s="18"/>
      <c r="O12" s="16"/>
    </row>
    <row r="13" spans="1:16" x14ac:dyDescent="0.25">
      <c r="A13" s="111" t="s">
        <v>191</v>
      </c>
      <c r="B13" s="113">
        <v>150</v>
      </c>
      <c r="C13" s="111"/>
      <c r="D13" s="133" t="s">
        <v>174</v>
      </c>
      <c r="E13" s="135">
        <v>44</v>
      </c>
      <c r="F13" s="133"/>
      <c r="G13" s="151" t="s">
        <v>19</v>
      </c>
      <c r="H13" s="153"/>
      <c r="I13" s="151"/>
      <c r="J13" s="155" t="s">
        <v>195</v>
      </c>
      <c r="K13" s="157">
        <v>100</v>
      </c>
      <c r="L13" s="155"/>
      <c r="M13" s="16" t="s">
        <v>180</v>
      </c>
      <c r="N13" s="18">
        <v>1.5</v>
      </c>
      <c r="O13" s="16"/>
    </row>
    <row r="14" spans="1:16" x14ac:dyDescent="0.25">
      <c r="A14" s="111" t="s">
        <v>192</v>
      </c>
      <c r="B14" s="113"/>
      <c r="C14" s="111"/>
      <c r="D14" s="133" t="s">
        <v>176</v>
      </c>
      <c r="E14" s="135">
        <v>270</v>
      </c>
      <c r="F14" s="133"/>
      <c r="G14" s="151" t="s">
        <v>20</v>
      </c>
      <c r="H14" s="153"/>
      <c r="I14" s="151"/>
      <c r="J14" s="155" t="s">
        <v>196</v>
      </c>
      <c r="K14" s="157">
        <v>100</v>
      </c>
      <c r="L14" s="155"/>
      <c r="M14" s="16" t="s">
        <v>98</v>
      </c>
      <c r="N14" s="18">
        <v>18.7</v>
      </c>
      <c r="O14" s="16"/>
    </row>
    <row r="15" spans="1:16" x14ac:dyDescent="0.25">
      <c r="A15" s="111" t="s">
        <v>199</v>
      </c>
      <c r="B15" s="113">
        <v>9</v>
      </c>
      <c r="C15" s="111"/>
      <c r="D15" s="133" t="s">
        <v>174</v>
      </c>
      <c r="E15" s="135">
        <v>24.98</v>
      </c>
      <c r="F15" s="133"/>
      <c r="G15" s="151"/>
      <c r="H15" s="153"/>
      <c r="I15" s="151"/>
      <c r="J15" s="155" t="s">
        <v>67</v>
      </c>
      <c r="K15" s="157">
        <v>-50</v>
      </c>
      <c r="L15" s="155"/>
      <c r="M15" s="16" t="s">
        <v>193</v>
      </c>
      <c r="N15" s="18">
        <v>69</v>
      </c>
      <c r="O15" s="16"/>
    </row>
    <row r="16" spans="1:16" x14ac:dyDescent="0.25">
      <c r="A16" s="111" t="s">
        <v>201</v>
      </c>
      <c r="B16" s="113">
        <v>3</v>
      </c>
      <c r="C16" s="111"/>
      <c r="D16" s="133" t="s">
        <v>102</v>
      </c>
      <c r="E16" s="135">
        <v>1.99</v>
      </c>
      <c r="F16" s="133"/>
      <c r="G16" s="151"/>
      <c r="H16" s="153"/>
      <c r="I16" s="151"/>
      <c r="J16" s="155"/>
      <c r="K16" s="157"/>
      <c r="L16" s="155"/>
      <c r="M16" s="16" t="s">
        <v>60</v>
      </c>
      <c r="N16" s="18">
        <v>100</v>
      </c>
      <c r="O16" s="16"/>
    </row>
    <row r="17" spans="1:15" x14ac:dyDescent="0.25">
      <c r="A17" s="111" t="s">
        <v>205</v>
      </c>
      <c r="B17" s="113">
        <v>20</v>
      </c>
      <c r="C17" s="111"/>
      <c r="D17" s="133" t="s">
        <v>157</v>
      </c>
      <c r="E17" s="135">
        <v>5</v>
      </c>
      <c r="F17" s="133"/>
      <c r="G17" s="151"/>
      <c r="H17" s="153"/>
      <c r="I17" s="151"/>
      <c r="J17" s="155"/>
      <c r="K17" s="157"/>
      <c r="L17" s="155"/>
      <c r="M17" s="16"/>
      <c r="N17" s="18"/>
      <c r="O17" s="16"/>
    </row>
    <row r="18" spans="1:15" x14ac:dyDescent="0.25">
      <c r="A18" s="112" t="s">
        <v>27</v>
      </c>
      <c r="B18" s="114">
        <f>SUM(B10:B17)</f>
        <v>1805.39</v>
      </c>
      <c r="C18" s="111"/>
      <c r="D18" s="133" t="s">
        <v>68</v>
      </c>
      <c r="E18" s="135">
        <v>50</v>
      </c>
      <c r="F18" s="133"/>
      <c r="G18" s="151"/>
      <c r="H18" s="153"/>
      <c r="I18" s="151"/>
      <c r="J18" s="155"/>
      <c r="K18" s="157"/>
      <c r="L18" s="155"/>
      <c r="M18" s="16"/>
      <c r="N18" s="18"/>
      <c r="O18" s="16"/>
    </row>
    <row r="19" spans="1:15" x14ac:dyDescent="0.25">
      <c r="A19" s="111"/>
      <c r="B19" s="111"/>
      <c r="C19" s="111"/>
      <c r="D19" s="133" t="s">
        <v>182</v>
      </c>
      <c r="E19" s="135">
        <v>6.99</v>
      </c>
      <c r="F19" s="133"/>
      <c r="G19" s="151"/>
      <c r="H19" s="153"/>
      <c r="I19" s="151"/>
      <c r="J19" s="155"/>
      <c r="K19" s="157"/>
      <c r="L19" s="155"/>
      <c r="M19" s="16" t="s">
        <v>197</v>
      </c>
      <c r="N19" s="18">
        <v>11.2</v>
      </c>
      <c r="O19" s="16"/>
    </row>
    <row r="20" spans="1:15" x14ac:dyDescent="0.25">
      <c r="A20" s="111"/>
      <c r="B20" s="111"/>
      <c r="C20" s="111"/>
      <c r="D20" s="133" t="s">
        <v>51</v>
      </c>
      <c r="E20" s="135">
        <v>6.99</v>
      </c>
      <c r="F20" s="133"/>
      <c r="G20" s="152" t="s">
        <v>27</v>
      </c>
      <c r="H20" s="154">
        <f>SUM(H10:H19)</f>
        <v>287</v>
      </c>
      <c r="I20" s="151"/>
      <c r="J20" s="156" t="s">
        <v>27</v>
      </c>
      <c r="K20" s="158">
        <f>SUM(K10:K19)</f>
        <v>-130</v>
      </c>
      <c r="L20" s="155"/>
      <c r="M20" s="16" t="s">
        <v>110</v>
      </c>
      <c r="N20" s="18">
        <v>10</v>
      </c>
      <c r="O20" s="16"/>
    </row>
    <row r="21" spans="1:15" x14ac:dyDescent="0.25">
      <c r="A21" s="111"/>
      <c r="B21" s="111"/>
      <c r="C21" s="111"/>
      <c r="D21" s="133" t="s">
        <v>105</v>
      </c>
      <c r="E21" s="135">
        <v>9.9499999999999993</v>
      </c>
      <c r="F21" s="133"/>
      <c r="G21" s="151"/>
      <c r="H21" s="151"/>
      <c r="I21" s="151"/>
      <c r="J21" s="155"/>
      <c r="K21" s="155"/>
      <c r="L21" s="155"/>
      <c r="M21" s="16" t="s">
        <v>198</v>
      </c>
      <c r="N21" s="18">
        <v>80.11</v>
      </c>
      <c r="O21" s="16"/>
    </row>
    <row r="22" spans="1:15" x14ac:dyDescent="0.25">
      <c r="A22" s="111"/>
      <c r="B22" s="111"/>
      <c r="C22" s="111"/>
      <c r="D22" s="133" t="s">
        <v>52</v>
      </c>
      <c r="E22" s="135">
        <v>68.709999999999994</v>
      </c>
      <c r="F22" s="133"/>
      <c r="G22" s="151"/>
      <c r="H22" s="151"/>
      <c r="I22" s="151"/>
      <c r="J22" s="155"/>
      <c r="K22" s="155"/>
      <c r="L22" s="155"/>
      <c r="M22" s="16" t="s">
        <v>171</v>
      </c>
      <c r="N22" s="18">
        <v>41.04</v>
      </c>
      <c r="O22" s="16"/>
    </row>
    <row r="23" spans="1:15" x14ac:dyDescent="0.25">
      <c r="A23" s="111"/>
      <c r="B23" s="111"/>
      <c r="C23" s="111"/>
      <c r="D23" s="133" t="s">
        <v>101</v>
      </c>
      <c r="E23" s="135">
        <v>12.14</v>
      </c>
      <c r="F23" s="133"/>
      <c r="G23" s="151"/>
      <c r="H23" s="151"/>
      <c r="I23" s="151"/>
      <c r="J23" s="155"/>
      <c r="K23" s="155"/>
      <c r="L23" s="155"/>
      <c r="M23" s="16" t="s">
        <v>98</v>
      </c>
      <c r="N23" s="18">
        <v>27.9</v>
      </c>
      <c r="O23" s="16"/>
    </row>
    <row r="24" spans="1:15" x14ac:dyDescent="0.25">
      <c r="A24" s="111"/>
      <c r="B24" s="111"/>
      <c r="C24" s="111"/>
      <c r="D24" s="133"/>
      <c r="E24" s="135"/>
      <c r="F24" s="133"/>
      <c r="G24" s="151"/>
      <c r="H24" s="151"/>
      <c r="I24" s="151"/>
      <c r="J24" s="155"/>
      <c r="K24" s="155"/>
      <c r="L24" s="155"/>
      <c r="M24" s="16" t="s">
        <v>200</v>
      </c>
      <c r="N24" s="18">
        <v>1</v>
      </c>
      <c r="O24" s="16"/>
    </row>
    <row r="25" spans="1:15" x14ac:dyDescent="0.25">
      <c r="A25" s="111"/>
      <c r="B25" s="111"/>
      <c r="C25" s="111"/>
      <c r="D25" s="133"/>
      <c r="E25" s="135"/>
      <c r="F25" s="133"/>
      <c r="G25" s="151"/>
      <c r="H25" s="151"/>
      <c r="I25" s="151"/>
      <c r="J25" s="155"/>
      <c r="K25" s="155"/>
      <c r="L25" s="155"/>
      <c r="M25" s="16" t="s">
        <v>200</v>
      </c>
      <c r="N25" s="18">
        <v>2.2000000000000002</v>
      </c>
      <c r="O25" s="16"/>
    </row>
    <row r="26" spans="1:15" x14ac:dyDescent="0.25">
      <c r="A26" s="111"/>
      <c r="B26" s="111"/>
      <c r="C26" s="111"/>
      <c r="D26" s="133"/>
      <c r="E26" s="135"/>
      <c r="F26" s="133"/>
      <c r="G26" s="151"/>
      <c r="H26" s="151"/>
      <c r="I26" s="151"/>
      <c r="J26" s="155"/>
      <c r="K26" s="155"/>
      <c r="L26" s="155"/>
      <c r="M26" s="16" t="s">
        <v>200</v>
      </c>
      <c r="N26" s="18">
        <v>2.4</v>
      </c>
      <c r="O26" s="16"/>
    </row>
    <row r="27" spans="1:15" x14ac:dyDescent="0.25">
      <c r="A27" s="111"/>
      <c r="B27" s="111"/>
      <c r="C27" s="111"/>
      <c r="D27" s="134" t="s">
        <v>27</v>
      </c>
      <c r="E27" s="136">
        <f>SUM(E10:E26)</f>
        <v>522.74</v>
      </c>
      <c r="F27" s="133"/>
      <c r="G27" s="151"/>
      <c r="H27" s="151"/>
      <c r="I27" s="151"/>
      <c r="J27" s="155"/>
      <c r="K27" s="155"/>
      <c r="L27" s="155"/>
      <c r="M27" s="16" t="s">
        <v>200</v>
      </c>
      <c r="N27" s="18">
        <v>3.6</v>
      </c>
      <c r="O27" s="16"/>
    </row>
    <row r="28" spans="1:15" x14ac:dyDescent="0.25">
      <c r="A28" s="111"/>
      <c r="B28" s="111"/>
      <c r="C28" s="111"/>
      <c r="D28" s="133"/>
      <c r="E28" s="133"/>
      <c r="F28" s="133"/>
      <c r="G28" s="151"/>
      <c r="H28" s="151"/>
      <c r="I28" s="151"/>
      <c r="J28" s="155"/>
      <c r="K28" s="155"/>
      <c r="L28" s="155"/>
      <c r="M28" s="16" t="s">
        <v>200</v>
      </c>
      <c r="N28" s="18">
        <v>11.6</v>
      </c>
      <c r="O28" s="16"/>
    </row>
    <row r="29" spans="1:15" x14ac:dyDescent="0.25">
      <c r="A29" s="111"/>
      <c r="B29" s="111"/>
      <c r="C29" s="111"/>
      <c r="D29" s="133"/>
      <c r="E29" s="133"/>
      <c r="F29" s="133"/>
      <c r="G29" s="151"/>
      <c r="H29" s="151"/>
      <c r="I29" s="151"/>
      <c r="J29" s="155"/>
      <c r="K29" s="155"/>
      <c r="L29" s="155"/>
      <c r="M29" s="16" t="s">
        <v>200</v>
      </c>
      <c r="N29" s="18">
        <v>16.3</v>
      </c>
      <c r="O29" s="16"/>
    </row>
    <row r="30" spans="1:15" x14ac:dyDescent="0.25">
      <c r="A30" s="111"/>
      <c r="B30" s="111"/>
      <c r="C30" s="111"/>
      <c r="D30" s="133"/>
      <c r="E30" s="133"/>
      <c r="F30" s="133"/>
      <c r="G30" s="151"/>
      <c r="H30" s="151"/>
      <c r="I30" s="151"/>
      <c r="J30" s="155"/>
      <c r="K30" s="155"/>
      <c r="L30" s="155"/>
      <c r="M30" s="16" t="s">
        <v>200</v>
      </c>
      <c r="N30" s="16">
        <v>20.5</v>
      </c>
      <c r="O30" s="16"/>
    </row>
    <row r="31" spans="1:15" x14ac:dyDescent="0.25">
      <c r="M31" s="16" t="s">
        <v>200</v>
      </c>
      <c r="N31" s="16">
        <v>40.92</v>
      </c>
      <c r="O31" s="16"/>
    </row>
    <row r="32" spans="1:15" x14ac:dyDescent="0.25">
      <c r="M32" s="16" t="s">
        <v>200</v>
      </c>
      <c r="N32" s="16">
        <v>3.6</v>
      </c>
      <c r="O32" s="16"/>
    </row>
    <row r="33" spans="13:15" x14ac:dyDescent="0.25">
      <c r="M33" s="16" t="s">
        <v>202</v>
      </c>
      <c r="N33" s="16">
        <v>50</v>
      </c>
      <c r="O33" s="16"/>
    </row>
    <row r="34" spans="13:15" x14ac:dyDescent="0.25">
      <c r="M34" s="16" t="s">
        <v>203</v>
      </c>
      <c r="N34" s="16">
        <v>12.88</v>
      </c>
      <c r="O34" s="16"/>
    </row>
    <row r="35" spans="13:15" x14ac:dyDescent="0.25">
      <c r="M35" s="16" t="s">
        <v>200</v>
      </c>
      <c r="N35" s="16">
        <v>16.3</v>
      </c>
      <c r="O35" s="16"/>
    </row>
    <row r="36" spans="13:15" x14ac:dyDescent="0.25">
      <c r="M36" s="16" t="s">
        <v>200</v>
      </c>
      <c r="N36" s="16">
        <v>18.5</v>
      </c>
      <c r="O36" s="16"/>
    </row>
    <row r="37" spans="13:15" x14ac:dyDescent="0.25">
      <c r="M37" s="16" t="s">
        <v>200</v>
      </c>
      <c r="N37" s="16">
        <v>20</v>
      </c>
      <c r="O37" s="16"/>
    </row>
    <row r="38" spans="13:15" x14ac:dyDescent="0.25">
      <c r="M38" s="16" t="s">
        <v>204</v>
      </c>
      <c r="N38" s="16">
        <v>20.98</v>
      </c>
      <c r="O38" s="16"/>
    </row>
    <row r="39" spans="13:15" x14ac:dyDescent="0.25">
      <c r="M39" s="16" t="s">
        <v>200</v>
      </c>
      <c r="N39" s="16">
        <v>22.5</v>
      </c>
      <c r="O39" s="16"/>
    </row>
    <row r="40" spans="13:15" x14ac:dyDescent="0.25">
      <c r="M40" s="16" t="s">
        <v>206</v>
      </c>
      <c r="N40" s="16">
        <v>32.78</v>
      </c>
      <c r="O40" s="16"/>
    </row>
    <row r="41" spans="13:15" x14ac:dyDescent="0.25">
      <c r="M41" s="16" t="s">
        <v>200</v>
      </c>
      <c r="N41" s="16">
        <v>35.83</v>
      </c>
      <c r="O41" s="16"/>
    </row>
    <row r="42" spans="13:15" x14ac:dyDescent="0.25">
      <c r="M42" s="16" t="s">
        <v>207</v>
      </c>
      <c r="N42" s="16">
        <v>4.55</v>
      </c>
      <c r="O42" s="16"/>
    </row>
    <row r="43" spans="13:15" x14ac:dyDescent="0.25">
      <c r="M43" s="16" t="s">
        <v>208</v>
      </c>
      <c r="N43" s="16">
        <v>50</v>
      </c>
      <c r="O43" s="16"/>
    </row>
    <row r="44" spans="13:15" x14ac:dyDescent="0.25">
      <c r="M44" s="16" t="s">
        <v>200</v>
      </c>
      <c r="N44" s="16">
        <v>4.8</v>
      </c>
      <c r="O44" s="16"/>
    </row>
    <row r="45" spans="13:15" x14ac:dyDescent="0.25">
      <c r="M45" s="16" t="s">
        <v>209</v>
      </c>
      <c r="N45" s="16">
        <v>50</v>
      </c>
      <c r="O45" s="16"/>
    </row>
    <row r="46" spans="13:15" x14ac:dyDescent="0.25">
      <c r="M46" s="16"/>
      <c r="N46" s="16"/>
      <c r="O46" s="16"/>
    </row>
    <row r="47" spans="13:15" x14ac:dyDescent="0.25">
      <c r="M47" s="16"/>
      <c r="N47" s="16"/>
      <c r="O47" s="16"/>
    </row>
    <row r="48" spans="13:15" x14ac:dyDescent="0.25">
      <c r="M48" s="16"/>
      <c r="N48" s="16"/>
      <c r="O48" s="16"/>
    </row>
    <row r="49" spans="13:15" x14ac:dyDescent="0.25">
      <c r="M49" s="17" t="s">
        <v>27</v>
      </c>
      <c r="N49" s="159">
        <f>SUM(N10:N45)</f>
        <v>811.68999999999994</v>
      </c>
      <c r="O49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0B283-C723-434F-B21C-F6F67E32A7D9}">
  <sheetPr codeName="Feuil8">
    <tabColor theme="1" tint="0.499984740745262"/>
  </sheetPr>
  <dimension ref="A1:N26"/>
  <sheetViews>
    <sheetView showGridLines="0" topLeftCell="A4" workbookViewId="0">
      <selection activeCell="H37" sqref="H36:H37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1" spans="1:14" x14ac:dyDescent="0.25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14" x14ac:dyDescent="0.25">
      <c r="A2" s="115"/>
      <c r="B2" s="116" t="s">
        <v>0</v>
      </c>
      <c r="C2" s="115"/>
      <c r="D2" s="115"/>
      <c r="E2" s="116" t="s">
        <v>1</v>
      </c>
      <c r="F2" s="115"/>
      <c r="G2" s="115"/>
      <c r="H2" s="116" t="s">
        <v>2</v>
      </c>
      <c r="I2" s="115"/>
      <c r="J2" s="115"/>
      <c r="K2" s="116" t="s">
        <v>3</v>
      </c>
      <c r="L2" s="115"/>
      <c r="M2" s="115"/>
      <c r="N2" s="116" t="s">
        <v>4</v>
      </c>
    </row>
    <row r="3" spans="1:14" ht="24" customHeight="1" x14ac:dyDescent="0.25">
      <c r="A3" s="115"/>
      <c r="B3" s="117">
        <f>SUM(B10:B15)</f>
        <v>2247</v>
      </c>
      <c r="C3" s="115"/>
      <c r="D3" s="115"/>
      <c r="E3" s="117">
        <f>SUM(E10:E24)</f>
        <v>446.95000000000005</v>
      </c>
      <c r="F3" s="115"/>
      <c r="G3" s="115"/>
      <c r="H3" s="117">
        <f>SUM(H10:H15)</f>
        <v>287</v>
      </c>
      <c r="I3" s="115"/>
      <c r="J3" s="115"/>
      <c r="K3" s="117">
        <f>SUM(K10:K15)</f>
        <v>480</v>
      </c>
      <c r="L3" s="115"/>
      <c r="M3" s="115"/>
      <c r="N3" s="117">
        <f>SUM(N10:N25)</f>
        <v>160.11000000000001</v>
      </c>
    </row>
    <row r="4" spans="1:14" x14ac:dyDescent="0.25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</row>
    <row r="5" spans="1:14" x14ac:dyDescent="0.25">
      <c r="A5" s="115"/>
      <c r="B5" s="116" t="s">
        <v>5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</row>
    <row r="6" spans="1:14" x14ac:dyDescent="0.25">
      <c r="A6" s="115"/>
      <c r="B6" s="117">
        <f>B3-E3-H3-K3-N3</f>
        <v>872.93999999999994</v>
      </c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</row>
    <row r="7" spans="1:14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</row>
    <row r="8" spans="1:14" ht="31.5" x14ac:dyDescent="0.5">
      <c r="A8" s="24" t="s">
        <v>6</v>
      </c>
      <c r="B8" s="13"/>
      <c r="D8" s="22" t="s">
        <v>7</v>
      </c>
      <c r="E8" s="19"/>
      <c r="G8" s="23" t="s">
        <v>8</v>
      </c>
      <c r="H8" s="7"/>
      <c r="J8" s="25" t="s">
        <v>9</v>
      </c>
      <c r="K8" s="4"/>
      <c r="M8" s="26" t="s">
        <v>4</v>
      </c>
      <c r="N8" s="10"/>
    </row>
    <row r="9" spans="1:14" x14ac:dyDescent="0.25">
      <c r="A9" s="14" t="s">
        <v>10</v>
      </c>
      <c r="B9" s="14" t="s">
        <v>11</v>
      </c>
      <c r="C9" s="1"/>
      <c r="D9" s="20" t="s">
        <v>10</v>
      </c>
      <c r="E9" s="20" t="s">
        <v>11</v>
      </c>
      <c r="F9" s="1"/>
      <c r="G9" s="8" t="s">
        <v>10</v>
      </c>
      <c r="H9" s="8" t="s">
        <v>11</v>
      </c>
      <c r="I9" s="1"/>
      <c r="J9" s="5" t="s">
        <v>10</v>
      </c>
      <c r="K9" s="5" t="s">
        <v>11</v>
      </c>
      <c r="L9" s="1"/>
      <c r="M9" s="11" t="s">
        <v>10</v>
      </c>
      <c r="N9" s="11" t="s">
        <v>11</v>
      </c>
    </row>
    <row r="10" spans="1:14" x14ac:dyDescent="0.25">
      <c r="A10" s="13" t="s">
        <v>47</v>
      </c>
      <c r="B10" s="15">
        <v>2094</v>
      </c>
      <c r="D10" s="19" t="s">
        <v>107</v>
      </c>
      <c r="E10" s="21">
        <v>270</v>
      </c>
      <c r="G10" s="7"/>
      <c r="H10" s="9"/>
      <c r="J10" s="4" t="s">
        <v>21</v>
      </c>
      <c r="K10" s="6">
        <v>180</v>
      </c>
      <c r="M10" s="10" t="s">
        <v>54</v>
      </c>
      <c r="N10" s="12">
        <v>80</v>
      </c>
    </row>
    <row r="11" spans="1:14" x14ac:dyDescent="0.25">
      <c r="A11" s="13" t="s">
        <v>48</v>
      </c>
      <c r="B11" s="15">
        <v>153</v>
      </c>
      <c r="D11" s="19" t="s">
        <v>56</v>
      </c>
      <c r="E11" s="21">
        <v>24.99</v>
      </c>
      <c r="G11" s="7" t="s">
        <v>210</v>
      </c>
      <c r="H11" s="9">
        <v>287</v>
      </c>
      <c r="J11" s="4" t="s">
        <v>22</v>
      </c>
      <c r="K11" s="6">
        <v>150</v>
      </c>
      <c r="M11" s="10" t="s">
        <v>211</v>
      </c>
      <c r="N11" s="12">
        <v>80.11</v>
      </c>
    </row>
    <row r="12" spans="1:14" x14ac:dyDescent="0.25">
      <c r="A12" s="13" t="s">
        <v>14</v>
      </c>
      <c r="B12" s="15"/>
      <c r="D12" s="19" t="s">
        <v>49</v>
      </c>
      <c r="E12" s="21">
        <v>9.99</v>
      </c>
      <c r="G12" s="7" t="s">
        <v>20</v>
      </c>
      <c r="H12" s="9"/>
      <c r="J12" s="4" t="s">
        <v>23</v>
      </c>
      <c r="K12" s="6">
        <v>150</v>
      </c>
      <c r="M12" s="10" t="s">
        <v>26</v>
      </c>
      <c r="N12" s="12"/>
    </row>
    <row r="13" spans="1:14" x14ac:dyDescent="0.25">
      <c r="A13" s="13"/>
      <c r="B13" s="15"/>
      <c r="D13" s="19" t="s">
        <v>50</v>
      </c>
      <c r="E13" s="21">
        <v>6.99</v>
      </c>
      <c r="G13" s="7"/>
      <c r="H13" s="9"/>
      <c r="J13" s="4"/>
      <c r="K13" s="6"/>
      <c r="M13" s="10"/>
      <c r="N13" s="12"/>
    </row>
    <row r="14" spans="1:14" x14ac:dyDescent="0.25">
      <c r="A14" s="13"/>
      <c r="B14" s="15"/>
      <c r="D14" s="19" t="s">
        <v>51</v>
      </c>
      <c r="E14" s="21">
        <v>6.99</v>
      </c>
      <c r="G14" s="7"/>
      <c r="H14" s="9"/>
      <c r="J14" s="4"/>
      <c r="K14" s="6"/>
      <c r="M14" s="10"/>
      <c r="N14" s="12"/>
    </row>
    <row r="15" spans="1:14" x14ac:dyDescent="0.25">
      <c r="A15" s="13"/>
      <c r="B15" s="15"/>
      <c r="D15" s="19" t="s">
        <v>52</v>
      </c>
      <c r="E15" s="21">
        <v>60</v>
      </c>
      <c r="G15" s="7"/>
      <c r="H15" s="9"/>
      <c r="J15" s="4"/>
      <c r="K15" s="6"/>
      <c r="M15" s="10"/>
      <c r="N15" s="12"/>
    </row>
    <row r="16" spans="1:14" x14ac:dyDescent="0.25">
      <c r="A16" s="1" t="s">
        <v>27</v>
      </c>
      <c r="B16" s="3">
        <f>SUM(B10:B15)</f>
        <v>2247</v>
      </c>
      <c r="D16" s="19" t="s">
        <v>53</v>
      </c>
      <c r="E16" s="21">
        <v>17.989999999999998</v>
      </c>
      <c r="G16" s="1" t="s">
        <v>27</v>
      </c>
      <c r="H16" s="3">
        <f>SUM(H10:H15)</f>
        <v>287</v>
      </c>
      <c r="J16" s="1" t="s">
        <v>27</v>
      </c>
      <c r="K16" s="3">
        <f>SUM(K10:K15)</f>
        <v>480</v>
      </c>
      <c r="M16" s="10"/>
      <c r="N16" s="12"/>
    </row>
    <row r="17" spans="4:14" x14ac:dyDescent="0.25">
      <c r="D17" s="19" t="s">
        <v>68</v>
      </c>
      <c r="E17" s="21">
        <v>50</v>
      </c>
      <c r="M17" s="10"/>
      <c r="N17" s="12"/>
    </row>
    <row r="18" spans="4:14" x14ac:dyDescent="0.25">
      <c r="D18" s="19"/>
      <c r="E18" s="21"/>
      <c r="M18" s="10"/>
      <c r="N18" s="12"/>
    </row>
    <row r="19" spans="4:14" x14ac:dyDescent="0.25">
      <c r="D19" s="19"/>
      <c r="E19" s="21"/>
      <c r="M19" s="10"/>
      <c r="N19" s="12"/>
    </row>
    <row r="20" spans="4:14" x14ac:dyDescent="0.25">
      <c r="D20" s="19"/>
      <c r="E20" s="21"/>
      <c r="M20" s="10"/>
      <c r="N20" s="12"/>
    </row>
    <row r="21" spans="4:14" x14ac:dyDescent="0.25">
      <c r="D21" s="19"/>
      <c r="E21" s="21"/>
      <c r="M21" s="10"/>
      <c r="N21" s="12"/>
    </row>
    <row r="22" spans="4:14" x14ac:dyDescent="0.25">
      <c r="D22" s="19"/>
      <c r="E22" s="21"/>
      <c r="M22" s="10"/>
      <c r="N22" s="12"/>
    </row>
    <row r="23" spans="4:14" x14ac:dyDescent="0.25">
      <c r="D23" s="19"/>
      <c r="E23" s="21"/>
      <c r="M23" s="10"/>
      <c r="N23" s="12"/>
    </row>
    <row r="24" spans="4:14" x14ac:dyDescent="0.25">
      <c r="D24" s="19"/>
      <c r="E24" s="21"/>
      <c r="M24" s="10"/>
      <c r="N24" s="12"/>
    </row>
    <row r="25" spans="4:14" x14ac:dyDescent="0.25">
      <c r="D25" s="1" t="s">
        <v>27</v>
      </c>
      <c r="E25" s="3">
        <f>SUM(E10:E24)</f>
        <v>446.95000000000005</v>
      </c>
      <c r="M25" s="10"/>
      <c r="N25" s="12"/>
    </row>
    <row r="26" spans="4:14" x14ac:dyDescent="0.25">
      <c r="M26" s="1" t="s">
        <v>27</v>
      </c>
      <c r="N26" s="3">
        <f>SUM(N10:N25)</f>
        <v>160.11000000000001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92B5A-BA4D-4BD9-A6C9-1302D77CF577}">
  <sheetPr codeName="Feuil9">
    <tabColor rgb="FFFF99FF"/>
  </sheetPr>
  <dimension ref="A2:N26"/>
  <sheetViews>
    <sheetView showGridLines="0" workbookViewId="0"/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2" spans="1:14" x14ac:dyDescent="0.25">
      <c r="B2" s="1" t="s">
        <v>0</v>
      </c>
      <c r="E2" s="1" t="s">
        <v>1</v>
      </c>
      <c r="H2" s="1" t="s">
        <v>2</v>
      </c>
      <c r="K2" s="1" t="s">
        <v>3</v>
      </c>
      <c r="N2" s="1" t="s">
        <v>4</v>
      </c>
    </row>
    <row r="3" spans="1:14" x14ac:dyDescent="0.25">
      <c r="B3" s="2">
        <f>SUM(B10:B15)</f>
        <v>0</v>
      </c>
      <c r="E3" s="2">
        <f>SUM(E10:E25)</f>
        <v>0</v>
      </c>
      <c r="H3" s="2">
        <f>SUM(H10:H15)</f>
        <v>0</v>
      </c>
      <c r="K3" s="2">
        <f>SUM(K10:K15)</f>
        <v>0</v>
      </c>
      <c r="N3" s="2">
        <f>SUM(N10:N25)</f>
        <v>0</v>
      </c>
    </row>
    <row r="5" spans="1:14" x14ac:dyDescent="0.25">
      <c r="B5" s="1" t="s">
        <v>5</v>
      </c>
    </row>
    <row r="6" spans="1:14" x14ac:dyDescent="0.25">
      <c r="B6" s="2">
        <f>B3-E3-H3-K3-N3</f>
        <v>0</v>
      </c>
    </row>
    <row r="8" spans="1:14" x14ac:dyDescent="0.25">
      <c r="A8" t="s">
        <v>6</v>
      </c>
      <c r="D8" t="s">
        <v>7</v>
      </c>
      <c r="G8" t="s">
        <v>8</v>
      </c>
      <c r="J8" t="s">
        <v>9</v>
      </c>
      <c r="M8" t="s">
        <v>4</v>
      </c>
    </row>
    <row r="9" spans="1:14" x14ac:dyDescent="0.25">
      <c r="A9" s="1" t="s">
        <v>10</v>
      </c>
      <c r="B9" s="1" t="s">
        <v>11</v>
      </c>
      <c r="C9" s="1"/>
      <c r="D9" s="1" t="s">
        <v>10</v>
      </c>
      <c r="E9" s="1" t="s">
        <v>11</v>
      </c>
      <c r="F9" s="1"/>
      <c r="G9" s="1" t="s">
        <v>10</v>
      </c>
      <c r="H9" s="1" t="s">
        <v>11</v>
      </c>
      <c r="I9" s="1"/>
      <c r="J9" s="1" t="s">
        <v>10</v>
      </c>
      <c r="K9" s="1" t="s">
        <v>11</v>
      </c>
      <c r="L9" s="1"/>
      <c r="M9" s="1" t="s">
        <v>10</v>
      </c>
      <c r="N9" s="1" t="s">
        <v>11</v>
      </c>
    </row>
    <row r="10" spans="1:14" x14ac:dyDescent="0.25">
      <c r="A10" t="s">
        <v>12</v>
      </c>
      <c r="B10" s="2"/>
      <c r="D10" t="s">
        <v>15</v>
      </c>
      <c r="E10" s="2"/>
      <c r="G10" t="s">
        <v>18</v>
      </c>
      <c r="H10" s="2"/>
      <c r="J10" t="s">
        <v>21</v>
      </c>
      <c r="K10" s="2"/>
      <c r="M10" t="s">
        <v>24</v>
      </c>
      <c r="N10" s="2"/>
    </row>
    <row r="11" spans="1:14" x14ac:dyDescent="0.25">
      <c r="A11" t="s">
        <v>13</v>
      </c>
      <c r="B11" s="2"/>
      <c r="D11" t="s">
        <v>16</v>
      </c>
      <c r="E11" s="2"/>
      <c r="G11" t="s">
        <v>19</v>
      </c>
      <c r="H11" s="2"/>
      <c r="J11" t="s">
        <v>22</v>
      </c>
      <c r="K11" s="2"/>
      <c r="M11" t="s">
        <v>25</v>
      </c>
      <c r="N11" s="2"/>
    </row>
    <row r="12" spans="1:14" x14ac:dyDescent="0.25">
      <c r="A12" t="s">
        <v>14</v>
      </c>
      <c r="B12" s="2"/>
      <c r="D12" t="s">
        <v>17</v>
      </c>
      <c r="E12" s="2"/>
      <c r="G12" t="s">
        <v>20</v>
      </c>
      <c r="H12" s="2"/>
      <c r="J12" t="s">
        <v>23</v>
      </c>
      <c r="K12" s="2"/>
      <c r="M12" t="s">
        <v>26</v>
      </c>
      <c r="N12" s="2"/>
    </row>
    <row r="13" spans="1:14" x14ac:dyDescent="0.25">
      <c r="B13" s="2"/>
      <c r="E13" s="2"/>
      <c r="H13" s="2"/>
      <c r="K13" s="2"/>
      <c r="N13" s="2"/>
    </row>
    <row r="14" spans="1:14" x14ac:dyDescent="0.25">
      <c r="B14" s="2"/>
      <c r="E14" s="2"/>
      <c r="H14" s="2"/>
      <c r="K14" s="2"/>
      <c r="N14" s="2"/>
    </row>
    <row r="15" spans="1:14" x14ac:dyDescent="0.25">
      <c r="B15" s="2"/>
      <c r="E15" s="2"/>
      <c r="H15" s="2"/>
      <c r="K15" s="2"/>
      <c r="N15" s="2"/>
    </row>
    <row r="16" spans="1:14" x14ac:dyDescent="0.25">
      <c r="A16" s="1" t="s">
        <v>27</v>
      </c>
      <c r="B16" s="3">
        <f>SUM(B10:B15)</f>
        <v>0</v>
      </c>
      <c r="E16" s="2"/>
      <c r="G16" s="1" t="s">
        <v>27</v>
      </c>
      <c r="H16" s="3">
        <f>SUM(H10:H15)</f>
        <v>0</v>
      </c>
      <c r="J16" s="1" t="s">
        <v>27</v>
      </c>
      <c r="K16" s="3">
        <f>SUM(K10:K15)</f>
        <v>0</v>
      </c>
      <c r="N16" s="2"/>
    </row>
    <row r="17" spans="4:14" x14ac:dyDescent="0.25">
      <c r="E17" s="2"/>
      <c r="N17" s="2"/>
    </row>
    <row r="18" spans="4:14" x14ac:dyDescent="0.25">
      <c r="E18" s="2"/>
      <c r="N18" s="2"/>
    </row>
    <row r="19" spans="4:14" x14ac:dyDescent="0.25">
      <c r="E19" s="2"/>
      <c r="N19" s="2"/>
    </row>
    <row r="20" spans="4:14" x14ac:dyDescent="0.25">
      <c r="E20" s="2"/>
      <c r="N20" s="2"/>
    </row>
    <row r="21" spans="4:14" x14ac:dyDescent="0.25">
      <c r="E21" s="2"/>
      <c r="N21" s="2"/>
    </row>
    <row r="22" spans="4:14" x14ac:dyDescent="0.25">
      <c r="E22" s="2"/>
      <c r="N22" s="2"/>
    </row>
    <row r="23" spans="4:14" x14ac:dyDescent="0.25">
      <c r="E23" s="2"/>
      <c r="N23" s="2"/>
    </row>
    <row r="24" spans="4:14" x14ac:dyDescent="0.25">
      <c r="E24" s="2"/>
      <c r="N24" s="2"/>
    </row>
    <row r="25" spans="4:14" x14ac:dyDescent="0.25">
      <c r="E25" s="2"/>
      <c r="N25" s="2"/>
    </row>
    <row r="26" spans="4:14" x14ac:dyDescent="0.25">
      <c r="D26" s="1" t="s">
        <v>27</v>
      </c>
      <c r="E26" s="3">
        <f>SUM(E10:E25)</f>
        <v>0</v>
      </c>
      <c r="M26" s="1" t="s">
        <v>27</v>
      </c>
      <c r="N26" s="3">
        <f>SUM(N10:N25)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E35A0-2ABB-4154-81B1-2235F1C5A4A9}">
  <sheetPr codeName="Feuil10">
    <tabColor theme="0"/>
  </sheetPr>
  <dimension ref="A2:N26"/>
  <sheetViews>
    <sheetView showGridLines="0" workbookViewId="0"/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2" spans="1:14" x14ac:dyDescent="0.25">
      <c r="B2" s="1" t="s">
        <v>0</v>
      </c>
      <c r="E2" s="1" t="s">
        <v>1</v>
      </c>
      <c r="H2" s="1" t="s">
        <v>2</v>
      </c>
      <c r="K2" s="1" t="s">
        <v>3</v>
      </c>
      <c r="N2" s="1" t="s">
        <v>4</v>
      </c>
    </row>
    <row r="3" spans="1:14" x14ac:dyDescent="0.25">
      <c r="B3" s="2">
        <f>SUM(B10:B15)</f>
        <v>0</v>
      </c>
      <c r="E3" s="2">
        <f>SUM(E10:E25)</f>
        <v>0</v>
      </c>
      <c r="H3" s="2">
        <f>SUM(H10:H15)</f>
        <v>0</v>
      </c>
      <c r="K3" s="2">
        <f>SUM(K10:K15)</f>
        <v>0</v>
      </c>
      <c r="N3" s="2">
        <f>SUM(N10:N25)</f>
        <v>0</v>
      </c>
    </row>
    <row r="5" spans="1:14" x14ac:dyDescent="0.25">
      <c r="B5" s="1" t="s">
        <v>5</v>
      </c>
    </row>
    <row r="6" spans="1:14" x14ac:dyDescent="0.25">
      <c r="B6" s="2">
        <f>B3-E3-H3-K3-N3</f>
        <v>0</v>
      </c>
    </row>
    <row r="8" spans="1:14" x14ac:dyDescent="0.25">
      <c r="A8" t="s">
        <v>6</v>
      </c>
      <c r="D8" t="s">
        <v>7</v>
      </c>
      <c r="G8" t="s">
        <v>8</v>
      </c>
      <c r="J8" t="s">
        <v>9</v>
      </c>
      <c r="M8" t="s">
        <v>4</v>
      </c>
    </row>
    <row r="9" spans="1:14" x14ac:dyDescent="0.25">
      <c r="A9" s="1" t="s">
        <v>10</v>
      </c>
      <c r="B9" s="1" t="s">
        <v>11</v>
      </c>
      <c r="C9" s="1"/>
      <c r="D9" s="1" t="s">
        <v>10</v>
      </c>
      <c r="E9" s="1" t="s">
        <v>11</v>
      </c>
      <c r="F9" s="1"/>
      <c r="G9" s="1" t="s">
        <v>10</v>
      </c>
      <c r="H9" s="1" t="s">
        <v>11</v>
      </c>
      <c r="I9" s="1"/>
      <c r="J9" s="1" t="s">
        <v>10</v>
      </c>
      <c r="K9" s="1" t="s">
        <v>11</v>
      </c>
      <c r="L9" s="1"/>
      <c r="M9" s="1" t="s">
        <v>10</v>
      </c>
      <c r="N9" s="1" t="s">
        <v>11</v>
      </c>
    </row>
    <row r="10" spans="1:14" x14ac:dyDescent="0.25">
      <c r="A10" t="s">
        <v>12</v>
      </c>
      <c r="B10" s="2"/>
      <c r="D10" t="s">
        <v>15</v>
      </c>
      <c r="E10" s="2"/>
      <c r="G10" t="s">
        <v>18</v>
      </c>
      <c r="H10" s="2"/>
      <c r="J10" t="s">
        <v>21</v>
      </c>
      <c r="K10" s="2"/>
      <c r="M10" t="s">
        <v>24</v>
      </c>
      <c r="N10" s="2"/>
    </row>
    <row r="11" spans="1:14" x14ac:dyDescent="0.25">
      <c r="A11" t="s">
        <v>13</v>
      </c>
      <c r="B11" s="2"/>
      <c r="D11" t="s">
        <v>16</v>
      </c>
      <c r="E11" s="2"/>
      <c r="G11" t="s">
        <v>19</v>
      </c>
      <c r="H11" s="2"/>
      <c r="J11" t="s">
        <v>22</v>
      </c>
      <c r="K11" s="2"/>
      <c r="M11" t="s">
        <v>25</v>
      </c>
      <c r="N11" s="2"/>
    </row>
    <row r="12" spans="1:14" x14ac:dyDescent="0.25">
      <c r="A12" t="s">
        <v>14</v>
      </c>
      <c r="B12" s="2"/>
      <c r="D12" t="s">
        <v>17</v>
      </c>
      <c r="E12" s="2"/>
      <c r="G12" t="s">
        <v>20</v>
      </c>
      <c r="H12" s="2"/>
      <c r="J12" t="s">
        <v>23</v>
      </c>
      <c r="K12" s="2"/>
      <c r="M12" t="s">
        <v>26</v>
      </c>
      <c r="N12" s="2"/>
    </row>
    <row r="13" spans="1:14" x14ac:dyDescent="0.25">
      <c r="B13" s="2"/>
      <c r="E13" s="2"/>
      <c r="H13" s="2"/>
      <c r="K13" s="2"/>
      <c r="N13" s="2"/>
    </row>
    <row r="14" spans="1:14" x14ac:dyDescent="0.25">
      <c r="B14" s="2"/>
      <c r="E14" s="2"/>
      <c r="H14" s="2"/>
      <c r="K14" s="2"/>
      <c r="N14" s="2"/>
    </row>
    <row r="15" spans="1:14" x14ac:dyDescent="0.25">
      <c r="B15" s="2"/>
      <c r="E15" s="2"/>
      <c r="H15" s="2"/>
      <c r="K15" s="2"/>
      <c r="N15" s="2"/>
    </row>
    <row r="16" spans="1:14" x14ac:dyDescent="0.25">
      <c r="A16" s="1" t="s">
        <v>27</v>
      </c>
      <c r="B16" s="3">
        <f>SUM(B10:B15)</f>
        <v>0</v>
      </c>
      <c r="E16" s="2"/>
      <c r="G16" s="1" t="s">
        <v>27</v>
      </c>
      <c r="H16" s="3">
        <f>SUM(H10:H15)</f>
        <v>0</v>
      </c>
      <c r="J16" s="1" t="s">
        <v>27</v>
      </c>
      <c r="K16" s="3">
        <f>SUM(K10:K15)</f>
        <v>0</v>
      </c>
      <c r="N16" s="2"/>
    </row>
    <row r="17" spans="4:14" x14ac:dyDescent="0.25">
      <c r="E17" s="2"/>
      <c r="N17" s="2"/>
    </row>
    <row r="18" spans="4:14" x14ac:dyDescent="0.25">
      <c r="E18" s="2"/>
      <c r="N18" s="2"/>
    </row>
    <row r="19" spans="4:14" x14ac:dyDescent="0.25">
      <c r="E19" s="2"/>
      <c r="N19" s="2"/>
    </row>
    <row r="20" spans="4:14" x14ac:dyDescent="0.25">
      <c r="E20" s="2"/>
      <c r="N20" s="2"/>
    </row>
    <row r="21" spans="4:14" x14ac:dyDescent="0.25">
      <c r="E21" s="2"/>
      <c r="N21" s="2"/>
    </row>
    <row r="22" spans="4:14" x14ac:dyDescent="0.25">
      <c r="E22" s="2"/>
      <c r="N22" s="2"/>
    </row>
    <row r="23" spans="4:14" x14ac:dyDescent="0.25">
      <c r="E23" s="2"/>
      <c r="N23" s="2"/>
    </row>
    <row r="24" spans="4:14" x14ac:dyDescent="0.25">
      <c r="E24" s="2"/>
      <c r="N24" s="2"/>
    </row>
    <row r="25" spans="4:14" x14ac:dyDescent="0.25">
      <c r="E25" s="2"/>
      <c r="N25" s="2"/>
    </row>
    <row r="26" spans="4:14" x14ac:dyDescent="0.25">
      <c r="D26" s="1" t="s">
        <v>27</v>
      </c>
      <c r="E26" s="3">
        <f>SUM(E10:E25)</f>
        <v>0</v>
      </c>
      <c r="M26" s="1" t="s">
        <v>27</v>
      </c>
      <c r="N26" s="3">
        <f>SUM(N10:N25)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0D22-9101-4EA1-8920-846B4B2ED056}">
  <sheetPr codeName="Feuil11">
    <tabColor theme="1"/>
  </sheetPr>
  <dimension ref="A2:N26"/>
  <sheetViews>
    <sheetView showGridLines="0" workbookViewId="0">
      <selection activeCell="B11" sqref="B11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2" spans="1:14" x14ac:dyDescent="0.25">
      <c r="B2" s="1" t="s">
        <v>0</v>
      </c>
      <c r="E2" s="1" t="s">
        <v>1</v>
      </c>
      <c r="H2" s="1" t="s">
        <v>2</v>
      </c>
      <c r="K2" s="1" t="s">
        <v>3</v>
      </c>
      <c r="N2" s="1" t="s">
        <v>4</v>
      </c>
    </row>
    <row r="3" spans="1:14" x14ac:dyDescent="0.25">
      <c r="B3" s="2">
        <f>SUM(B10:B15)</f>
        <v>0</v>
      </c>
      <c r="E3" s="2">
        <f>SUM(E10:E25)</f>
        <v>0</v>
      </c>
      <c r="H3" s="2">
        <f>SUM(H10:H15)</f>
        <v>0</v>
      </c>
      <c r="K3" s="2">
        <f>SUM(K10:K15)</f>
        <v>0</v>
      </c>
      <c r="N3" s="2">
        <f>SUM(N10:N25)</f>
        <v>0</v>
      </c>
    </row>
    <row r="5" spans="1:14" x14ac:dyDescent="0.25">
      <c r="B5" s="1" t="s">
        <v>5</v>
      </c>
    </row>
    <row r="6" spans="1:14" x14ac:dyDescent="0.25">
      <c r="B6" s="2">
        <f>B3-E3-H3-K3-N3</f>
        <v>0</v>
      </c>
    </row>
    <row r="8" spans="1:14" x14ac:dyDescent="0.25">
      <c r="A8" t="s">
        <v>6</v>
      </c>
      <c r="D8" t="s">
        <v>7</v>
      </c>
      <c r="G8" t="s">
        <v>8</v>
      </c>
      <c r="J8" t="s">
        <v>9</v>
      </c>
      <c r="M8" t="s">
        <v>4</v>
      </c>
    </row>
    <row r="9" spans="1:14" x14ac:dyDescent="0.25">
      <c r="A9" s="1" t="s">
        <v>10</v>
      </c>
      <c r="B9" s="1" t="s">
        <v>11</v>
      </c>
      <c r="C9" s="1"/>
      <c r="D9" s="1" t="s">
        <v>10</v>
      </c>
      <c r="E9" s="1" t="s">
        <v>11</v>
      </c>
      <c r="F9" s="1"/>
      <c r="G9" s="1" t="s">
        <v>10</v>
      </c>
      <c r="H9" s="1" t="s">
        <v>11</v>
      </c>
      <c r="I9" s="1"/>
      <c r="J9" s="1" t="s">
        <v>10</v>
      </c>
      <c r="K9" s="1" t="s">
        <v>11</v>
      </c>
      <c r="L9" s="1"/>
      <c r="M9" s="1" t="s">
        <v>10</v>
      </c>
      <c r="N9" s="1" t="s">
        <v>11</v>
      </c>
    </row>
    <row r="10" spans="1:14" x14ac:dyDescent="0.25">
      <c r="A10" t="s">
        <v>12</v>
      </c>
      <c r="B10" s="2">
        <v>0</v>
      </c>
      <c r="D10" t="s">
        <v>15</v>
      </c>
      <c r="E10" s="2"/>
      <c r="G10" t="s">
        <v>18</v>
      </c>
      <c r="H10" s="2"/>
      <c r="J10" t="s">
        <v>21</v>
      </c>
      <c r="K10" s="2"/>
      <c r="M10" t="s">
        <v>24</v>
      </c>
      <c r="N10" s="2"/>
    </row>
    <row r="11" spans="1:14" x14ac:dyDescent="0.25">
      <c r="A11" t="s">
        <v>13</v>
      </c>
      <c r="B11" s="2"/>
      <c r="D11" t="s">
        <v>16</v>
      </c>
      <c r="E11" s="2"/>
      <c r="G11" t="s">
        <v>19</v>
      </c>
      <c r="H11" s="2"/>
      <c r="J11" t="s">
        <v>22</v>
      </c>
      <c r="K11" s="2"/>
      <c r="M11" t="s">
        <v>25</v>
      </c>
      <c r="N11" s="2"/>
    </row>
    <row r="12" spans="1:14" x14ac:dyDescent="0.25">
      <c r="A12" t="s">
        <v>14</v>
      </c>
      <c r="B12" s="2"/>
      <c r="D12" t="s">
        <v>17</v>
      </c>
      <c r="E12" s="2"/>
      <c r="G12" t="s">
        <v>20</v>
      </c>
      <c r="H12" s="2"/>
      <c r="J12" t="s">
        <v>23</v>
      </c>
      <c r="K12" s="2"/>
      <c r="M12" t="s">
        <v>26</v>
      </c>
      <c r="N12" s="2"/>
    </row>
    <row r="13" spans="1:14" x14ac:dyDescent="0.25">
      <c r="B13" s="2"/>
      <c r="E13" s="2"/>
      <c r="H13" s="2"/>
      <c r="K13" s="2"/>
      <c r="N13" s="2"/>
    </row>
    <row r="14" spans="1:14" x14ac:dyDescent="0.25">
      <c r="B14" s="2"/>
      <c r="E14" s="2"/>
      <c r="H14" s="2"/>
      <c r="K14" s="2"/>
      <c r="N14" s="2"/>
    </row>
    <row r="15" spans="1:14" x14ac:dyDescent="0.25">
      <c r="B15" s="2"/>
      <c r="E15" s="2"/>
      <c r="H15" s="2"/>
      <c r="K15" s="2"/>
      <c r="N15" s="2"/>
    </row>
    <row r="16" spans="1:14" x14ac:dyDescent="0.25">
      <c r="A16" s="1" t="s">
        <v>27</v>
      </c>
      <c r="B16" s="3">
        <f>SUM(B10:B15)</f>
        <v>0</v>
      </c>
      <c r="E16" s="2"/>
      <c r="G16" s="1" t="s">
        <v>27</v>
      </c>
      <c r="H16" s="3">
        <f>SUM(H10:H15)</f>
        <v>0</v>
      </c>
      <c r="J16" s="1" t="s">
        <v>27</v>
      </c>
      <c r="K16" s="3">
        <f>SUM(K10:K15)</f>
        <v>0</v>
      </c>
      <c r="N16" s="2"/>
    </row>
    <row r="17" spans="4:14" x14ac:dyDescent="0.25">
      <c r="E17" s="2"/>
      <c r="N17" s="2"/>
    </row>
    <row r="18" spans="4:14" x14ac:dyDescent="0.25">
      <c r="E18" s="2"/>
      <c r="N18" s="2"/>
    </row>
    <row r="19" spans="4:14" x14ac:dyDescent="0.25">
      <c r="E19" s="2"/>
      <c r="N19" s="2"/>
    </row>
    <row r="20" spans="4:14" x14ac:dyDescent="0.25">
      <c r="E20" s="2"/>
      <c r="N20" s="2"/>
    </row>
    <row r="21" spans="4:14" x14ac:dyDescent="0.25">
      <c r="E21" s="2"/>
      <c r="N21" s="2"/>
    </row>
    <row r="22" spans="4:14" x14ac:dyDescent="0.25">
      <c r="E22" s="2"/>
      <c r="N22" s="2"/>
    </row>
    <row r="23" spans="4:14" x14ac:dyDescent="0.25">
      <c r="E23" s="2"/>
      <c r="N23" s="2"/>
    </row>
    <row r="24" spans="4:14" x14ac:dyDescent="0.25">
      <c r="E24" s="2"/>
      <c r="N24" s="2"/>
    </row>
    <row r="25" spans="4:14" x14ac:dyDescent="0.25">
      <c r="E25" s="2"/>
      <c r="N25" s="2"/>
    </row>
    <row r="26" spans="4:14" x14ac:dyDescent="0.25">
      <c r="D26" s="1" t="s">
        <v>27</v>
      </c>
      <c r="E26" s="3">
        <f>SUM(E10:E25)</f>
        <v>0</v>
      </c>
      <c r="M26" s="1" t="s">
        <v>27</v>
      </c>
      <c r="N26" s="3">
        <f>SUM(N10:N25)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22CFA-2194-4229-819B-A34BD59A3EA9}">
  <sheetPr codeName="Feuil12">
    <tabColor theme="5" tint="-0.499984740745262"/>
  </sheetPr>
  <dimension ref="A2:N26"/>
  <sheetViews>
    <sheetView showGridLines="0" workbookViewId="0">
      <selection activeCell="I28" sqref="I28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2" spans="1:14" x14ac:dyDescent="0.25">
      <c r="B2" s="1" t="s">
        <v>0</v>
      </c>
      <c r="E2" s="1" t="s">
        <v>1</v>
      </c>
      <c r="H2" s="1" t="s">
        <v>2</v>
      </c>
      <c r="K2" s="1" t="s">
        <v>3</v>
      </c>
      <c r="N2" s="1" t="s">
        <v>4</v>
      </c>
    </row>
    <row r="3" spans="1:14" x14ac:dyDescent="0.25">
      <c r="B3" s="2">
        <f>SUM(B10:B15)</f>
        <v>0</v>
      </c>
      <c r="E3" s="2">
        <f>SUM(E10:E25)</f>
        <v>0</v>
      </c>
      <c r="H3" s="2">
        <f>SUM(H10:H15)</f>
        <v>0</v>
      </c>
      <c r="K3" s="2">
        <f>SUM(K10:K15)</f>
        <v>0</v>
      </c>
      <c r="N3" s="2">
        <f>SUM(N10:N25)</f>
        <v>0</v>
      </c>
    </row>
    <row r="5" spans="1:14" x14ac:dyDescent="0.25">
      <c r="B5" s="1" t="s">
        <v>5</v>
      </c>
    </row>
    <row r="6" spans="1:14" x14ac:dyDescent="0.25">
      <c r="B6" s="2">
        <f>B3-E3-H3-K3-N3</f>
        <v>0</v>
      </c>
    </row>
    <row r="8" spans="1:14" x14ac:dyDescent="0.25">
      <c r="A8" t="s">
        <v>6</v>
      </c>
      <c r="D8" t="s">
        <v>7</v>
      </c>
      <c r="G8" t="s">
        <v>8</v>
      </c>
      <c r="J8" t="s">
        <v>9</v>
      </c>
      <c r="M8" t="s">
        <v>4</v>
      </c>
    </row>
    <row r="9" spans="1:14" x14ac:dyDescent="0.25">
      <c r="A9" s="1" t="s">
        <v>10</v>
      </c>
      <c r="B9" s="1" t="s">
        <v>11</v>
      </c>
      <c r="C9" s="1"/>
      <c r="D9" s="1" t="s">
        <v>10</v>
      </c>
      <c r="E9" s="1" t="s">
        <v>11</v>
      </c>
      <c r="F9" s="1"/>
      <c r="G9" s="1" t="s">
        <v>10</v>
      </c>
      <c r="H9" s="1" t="s">
        <v>11</v>
      </c>
      <c r="I9" s="1"/>
      <c r="J9" s="1" t="s">
        <v>10</v>
      </c>
      <c r="K9" s="1" t="s">
        <v>11</v>
      </c>
      <c r="L9" s="1"/>
      <c r="M9" s="1" t="s">
        <v>10</v>
      </c>
      <c r="N9" s="1" t="s">
        <v>11</v>
      </c>
    </row>
    <row r="10" spans="1:14" x14ac:dyDescent="0.25">
      <c r="A10" t="s">
        <v>12</v>
      </c>
      <c r="B10" s="2"/>
      <c r="D10" t="s">
        <v>15</v>
      </c>
      <c r="E10" s="2"/>
      <c r="G10" t="s">
        <v>18</v>
      </c>
      <c r="H10" s="2"/>
      <c r="J10" t="s">
        <v>21</v>
      </c>
      <c r="K10" s="2"/>
      <c r="M10" t="s">
        <v>24</v>
      </c>
      <c r="N10" s="2"/>
    </row>
    <row r="11" spans="1:14" x14ac:dyDescent="0.25">
      <c r="A11" t="s">
        <v>13</v>
      </c>
      <c r="B11" s="2"/>
      <c r="D11" t="s">
        <v>16</v>
      </c>
      <c r="E11" s="2"/>
      <c r="G11" t="s">
        <v>19</v>
      </c>
      <c r="H11" s="2"/>
      <c r="J11" t="s">
        <v>22</v>
      </c>
      <c r="K11" s="2"/>
      <c r="M11" t="s">
        <v>25</v>
      </c>
      <c r="N11" s="2"/>
    </row>
    <row r="12" spans="1:14" x14ac:dyDescent="0.25">
      <c r="A12" t="s">
        <v>14</v>
      </c>
      <c r="B12" s="2"/>
      <c r="D12" t="s">
        <v>17</v>
      </c>
      <c r="E12" s="2"/>
      <c r="G12" t="s">
        <v>20</v>
      </c>
      <c r="H12" s="2"/>
      <c r="J12" t="s">
        <v>23</v>
      </c>
      <c r="K12" s="2"/>
      <c r="M12" t="s">
        <v>26</v>
      </c>
      <c r="N12" s="2"/>
    </row>
    <row r="13" spans="1:14" x14ac:dyDescent="0.25">
      <c r="B13" s="2"/>
      <c r="E13" s="2"/>
      <c r="H13" s="2"/>
      <c r="K13" s="2"/>
      <c r="N13" s="2"/>
    </row>
    <row r="14" spans="1:14" x14ac:dyDescent="0.25">
      <c r="B14" s="2"/>
      <c r="E14" s="2"/>
      <c r="H14" s="2"/>
      <c r="K14" s="2"/>
      <c r="N14" s="2"/>
    </row>
    <row r="15" spans="1:14" x14ac:dyDescent="0.25">
      <c r="B15" s="2"/>
      <c r="E15" s="2"/>
      <c r="H15" s="2"/>
      <c r="K15" s="2"/>
      <c r="N15" s="2"/>
    </row>
    <row r="16" spans="1:14" x14ac:dyDescent="0.25">
      <c r="A16" s="1" t="s">
        <v>27</v>
      </c>
      <c r="B16" s="3">
        <f>SUM(B10:B15)</f>
        <v>0</v>
      </c>
      <c r="E16" s="2"/>
      <c r="G16" s="1" t="s">
        <v>27</v>
      </c>
      <c r="H16" s="3">
        <f>SUM(H10:H15)</f>
        <v>0</v>
      </c>
      <c r="J16" s="1" t="s">
        <v>27</v>
      </c>
      <c r="K16" s="3">
        <f>SUM(K10:K15)</f>
        <v>0</v>
      </c>
      <c r="N16" s="2"/>
    </row>
    <row r="17" spans="4:14" x14ac:dyDescent="0.25">
      <c r="E17" s="2"/>
      <c r="N17" s="2"/>
    </row>
    <row r="18" spans="4:14" x14ac:dyDescent="0.25">
      <c r="E18" s="2"/>
      <c r="N18" s="2"/>
    </row>
    <row r="19" spans="4:14" x14ac:dyDescent="0.25">
      <c r="E19" s="2"/>
      <c r="N19" s="2"/>
    </row>
    <row r="20" spans="4:14" x14ac:dyDescent="0.25">
      <c r="E20" s="2"/>
      <c r="N20" s="2"/>
    </row>
    <row r="21" spans="4:14" x14ac:dyDescent="0.25">
      <c r="E21" s="2"/>
      <c r="N21" s="2"/>
    </row>
    <row r="22" spans="4:14" x14ac:dyDescent="0.25">
      <c r="E22" s="2"/>
      <c r="N22" s="2"/>
    </row>
    <row r="23" spans="4:14" x14ac:dyDescent="0.25">
      <c r="E23" s="2"/>
      <c r="N23" s="2"/>
    </row>
    <row r="24" spans="4:14" x14ac:dyDescent="0.25">
      <c r="E24" s="2"/>
      <c r="N24" s="2"/>
    </row>
    <row r="25" spans="4:14" x14ac:dyDescent="0.25">
      <c r="E25" s="2"/>
      <c r="N25" s="2"/>
    </row>
    <row r="26" spans="4:14" x14ac:dyDescent="0.25">
      <c r="D26" s="1" t="s">
        <v>27</v>
      </c>
      <c r="E26" s="3">
        <f>SUM(E10:E25)</f>
        <v>0</v>
      </c>
      <c r="M26" s="1" t="s">
        <v>27</v>
      </c>
      <c r="N26" s="3">
        <f>SUM(N10:N25)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B9B25-69F7-452B-96B0-7050D2B104C9}">
  <sheetPr codeName="Feuil13">
    <tabColor theme="5"/>
  </sheetPr>
  <dimension ref="A2:N26"/>
  <sheetViews>
    <sheetView showGridLines="0" workbookViewId="0">
      <selection activeCell="H30" sqref="H30"/>
    </sheetView>
  </sheetViews>
  <sheetFormatPr baseColWidth="10" defaultRowHeight="15" x14ac:dyDescent="0.25"/>
  <cols>
    <col min="1" max="1" width="13.42578125" bestFit="1" customWidth="1"/>
    <col min="2" max="2" width="14.28515625" bestFit="1" customWidth="1"/>
    <col min="4" max="4" width="15.7109375" bestFit="1" customWidth="1"/>
    <col min="5" max="5" width="14.140625" bestFit="1" customWidth="1"/>
    <col min="7" max="7" width="14.42578125" bestFit="1" customWidth="1"/>
    <col min="10" max="10" width="16.140625" bestFit="1" customWidth="1"/>
    <col min="11" max="11" width="12.42578125" bestFit="1" customWidth="1"/>
    <col min="13" max="14" width="15.42578125" bestFit="1" customWidth="1"/>
  </cols>
  <sheetData>
    <row r="2" spans="1:14" x14ac:dyDescent="0.25">
      <c r="B2" s="1" t="s">
        <v>0</v>
      </c>
      <c r="E2" s="1" t="s">
        <v>1</v>
      </c>
      <c r="H2" s="1" t="s">
        <v>2</v>
      </c>
      <c r="K2" s="1" t="s">
        <v>3</v>
      </c>
      <c r="N2" s="1" t="s">
        <v>4</v>
      </c>
    </row>
    <row r="3" spans="1:14" x14ac:dyDescent="0.25">
      <c r="B3" s="2">
        <f>SUM(B10:B15)</f>
        <v>0</v>
      </c>
      <c r="E3" s="2">
        <f>SUM(E10:E25)</f>
        <v>0</v>
      </c>
      <c r="H3" s="2">
        <f>SUM(H10:H15)</f>
        <v>0</v>
      </c>
      <c r="K3" s="2">
        <f>SUM(K10:K15)</f>
        <v>0</v>
      </c>
      <c r="N3" s="2">
        <f>SUM(N10:N25)</f>
        <v>0</v>
      </c>
    </row>
    <row r="5" spans="1:14" x14ac:dyDescent="0.25">
      <c r="B5" s="1" t="s">
        <v>5</v>
      </c>
    </row>
    <row r="6" spans="1:14" x14ac:dyDescent="0.25">
      <c r="B6" s="2">
        <f>B3-E3-H3-K3-N3</f>
        <v>0</v>
      </c>
    </row>
    <row r="8" spans="1:14" x14ac:dyDescent="0.25">
      <c r="A8" t="s">
        <v>6</v>
      </c>
      <c r="D8" t="s">
        <v>7</v>
      </c>
      <c r="G8" t="s">
        <v>8</v>
      </c>
      <c r="J8" t="s">
        <v>9</v>
      </c>
      <c r="M8" t="s">
        <v>4</v>
      </c>
    </row>
    <row r="9" spans="1:14" x14ac:dyDescent="0.25">
      <c r="A9" s="1" t="s">
        <v>10</v>
      </c>
      <c r="B9" s="1" t="s">
        <v>11</v>
      </c>
      <c r="C9" s="1"/>
      <c r="D9" s="1" t="s">
        <v>10</v>
      </c>
      <c r="E9" s="1" t="s">
        <v>11</v>
      </c>
      <c r="F9" s="1"/>
      <c r="G9" s="1" t="s">
        <v>10</v>
      </c>
      <c r="H9" s="1" t="s">
        <v>11</v>
      </c>
      <c r="I9" s="1"/>
      <c r="J9" s="1" t="s">
        <v>10</v>
      </c>
      <c r="K9" s="1" t="s">
        <v>11</v>
      </c>
      <c r="L9" s="1"/>
      <c r="M9" s="1" t="s">
        <v>10</v>
      </c>
      <c r="N9" s="1" t="s">
        <v>11</v>
      </c>
    </row>
    <row r="10" spans="1:14" x14ac:dyDescent="0.25">
      <c r="A10" t="s">
        <v>12</v>
      </c>
      <c r="B10" s="2"/>
      <c r="D10" t="s">
        <v>15</v>
      </c>
      <c r="E10" s="2"/>
      <c r="G10" t="s">
        <v>18</v>
      </c>
      <c r="H10" s="2"/>
      <c r="J10" t="s">
        <v>21</v>
      </c>
      <c r="K10" s="2"/>
      <c r="M10" t="s">
        <v>24</v>
      </c>
      <c r="N10" s="2"/>
    </row>
    <row r="11" spans="1:14" x14ac:dyDescent="0.25">
      <c r="A11" t="s">
        <v>13</v>
      </c>
      <c r="B11" s="2"/>
      <c r="D11" t="s">
        <v>16</v>
      </c>
      <c r="E11" s="2"/>
      <c r="G11" t="s">
        <v>19</v>
      </c>
      <c r="H11" s="2"/>
      <c r="J11" t="s">
        <v>22</v>
      </c>
      <c r="K11" s="2"/>
      <c r="M11" t="s">
        <v>25</v>
      </c>
      <c r="N11" s="2"/>
    </row>
    <row r="12" spans="1:14" x14ac:dyDescent="0.25">
      <c r="A12" t="s">
        <v>14</v>
      </c>
      <c r="B12" s="2"/>
      <c r="D12" t="s">
        <v>17</v>
      </c>
      <c r="E12" s="2"/>
      <c r="G12" t="s">
        <v>20</v>
      </c>
      <c r="H12" s="2"/>
      <c r="J12" t="s">
        <v>23</v>
      </c>
      <c r="K12" s="2"/>
      <c r="M12" t="s">
        <v>26</v>
      </c>
      <c r="N12" s="2"/>
    </row>
    <row r="13" spans="1:14" x14ac:dyDescent="0.25">
      <c r="B13" s="2"/>
      <c r="E13" s="2"/>
      <c r="H13" s="2"/>
      <c r="K13" s="2"/>
      <c r="N13" s="2"/>
    </row>
    <row r="14" spans="1:14" x14ac:dyDescent="0.25">
      <c r="B14" s="2"/>
      <c r="E14" s="2"/>
      <c r="H14" s="2"/>
      <c r="K14" s="2"/>
      <c r="N14" s="2"/>
    </row>
    <row r="15" spans="1:14" x14ac:dyDescent="0.25">
      <c r="B15" s="2"/>
      <c r="E15" s="2"/>
      <c r="H15" s="2"/>
      <c r="K15" s="2"/>
      <c r="N15" s="2"/>
    </row>
    <row r="16" spans="1:14" x14ac:dyDescent="0.25">
      <c r="A16" s="1" t="s">
        <v>27</v>
      </c>
      <c r="B16" s="3">
        <f>SUM(B10:B15)</f>
        <v>0</v>
      </c>
      <c r="E16" s="2"/>
      <c r="G16" s="1" t="s">
        <v>27</v>
      </c>
      <c r="H16" s="3">
        <f>SUM(H10:H15)</f>
        <v>0</v>
      </c>
      <c r="J16" s="1" t="s">
        <v>27</v>
      </c>
      <c r="K16" s="3">
        <f>SUM(K10:K15)</f>
        <v>0</v>
      </c>
      <c r="N16" s="2"/>
    </row>
    <row r="17" spans="4:14" x14ac:dyDescent="0.25">
      <c r="E17" s="2"/>
      <c r="N17" s="2"/>
    </row>
    <row r="18" spans="4:14" x14ac:dyDescent="0.25">
      <c r="E18" s="2"/>
      <c r="N18" s="2"/>
    </row>
    <row r="19" spans="4:14" x14ac:dyDescent="0.25">
      <c r="E19" s="2"/>
      <c r="N19" s="2"/>
    </row>
    <row r="20" spans="4:14" x14ac:dyDescent="0.25">
      <c r="E20" s="2"/>
      <c r="N20" s="2"/>
    </row>
    <row r="21" spans="4:14" x14ac:dyDescent="0.25">
      <c r="E21" s="2"/>
      <c r="N21" s="2"/>
    </row>
    <row r="22" spans="4:14" x14ac:dyDescent="0.25">
      <c r="E22" s="2"/>
      <c r="N22" s="2"/>
    </row>
    <row r="23" spans="4:14" x14ac:dyDescent="0.25">
      <c r="E23" s="2"/>
      <c r="N23" s="2"/>
    </row>
    <row r="24" spans="4:14" x14ac:dyDescent="0.25">
      <c r="E24" s="2"/>
      <c r="N24" s="2"/>
    </row>
    <row r="25" spans="4:14" x14ac:dyDescent="0.25">
      <c r="E25" s="2"/>
      <c r="N25" s="2"/>
    </row>
    <row r="26" spans="4:14" x14ac:dyDescent="0.25">
      <c r="D26" s="1" t="s">
        <v>27</v>
      </c>
      <c r="E26" s="3">
        <f>SUM(E10:E25)</f>
        <v>0</v>
      </c>
      <c r="M26" s="1" t="s">
        <v>27</v>
      </c>
      <c r="N26" s="3">
        <f>SUM(N10:N25)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FBAC-06AA-49AD-823B-22ADCD922E82}">
  <sheetPr codeName="Feuil14"/>
  <dimension ref="A1:O53"/>
  <sheetViews>
    <sheetView showGridLines="0" tabSelected="1" topLeftCell="A22" zoomScaleNormal="100" workbookViewId="0">
      <selection activeCell="J57" sqref="J57"/>
    </sheetView>
  </sheetViews>
  <sheetFormatPr baseColWidth="10" defaultRowHeight="15" x14ac:dyDescent="0.25"/>
  <cols>
    <col min="1" max="2" width="10.85546875" customWidth="1"/>
    <col min="3" max="3" width="10.42578125" bestFit="1" customWidth="1"/>
    <col min="4" max="4" width="12.140625" bestFit="1" customWidth="1"/>
    <col min="5" max="5" width="9.7109375" customWidth="1"/>
    <col min="6" max="6" width="10.42578125" bestFit="1" customWidth="1"/>
    <col min="7" max="7" width="9.5703125" bestFit="1" customWidth="1"/>
    <col min="8" max="8" width="14.42578125" bestFit="1" customWidth="1"/>
  </cols>
  <sheetData>
    <row r="1" spans="1:8" x14ac:dyDescent="0.25">
      <c r="A1" s="1" t="s">
        <v>28</v>
      </c>
      <c r="B1" s="184" t="s">
        <v>240</v>
      </c>
      <c r="C1" s="80" t="s">
        <v>239</v>
      </c>
      <c r="D1" s="88" t="s">
        <v>29</v>
      </c>
      <c r="E1" s="91" t="s">
        <v>30</v>
      </c>
      <c r="F1" s="8" t="s">
        <v>31</v>
      </c>
      <c r="G1" s="94" t="s">
        <v>32</v>
      </c>
      <c r="H1" s="97" t="s">
        <v>33</v>
      </c>
    </row>
    <row r="2" spans="1:8" x14ac:dyDescent="0.25">
      <c r="A2" s="107" t="s">
        <v>34</v>
      </c>
      <c r="B2" s="185">
        <f>January!B11</f>
        <v>2261</v>
      </c>
      <c r="C2" s="81">
        <f>January!B16</f>
        <v>2261</v>
      </c>
      <c r="D2" s="89">
        <f>January!E3</f>
        <v>1079.2</v>
      </c>
      <c r="E2" s="92">
        <f>January!H3</f>
        <v>0</v>
      </c>
      <c r="F2" s="9">
        <f>January!K3</f>
        <v>451</v>
      </c>
      <c r="G2" s="95">
        <f>January!N3</f>
        <v>454.74</v>
      </c>
      <c r="H2" s="98">
        <f t="shared" ref="H2:H13" si="0">C2-D2-E2-F2-G2</f>
        <v>276.05999999999995</v>
      </c>
    </row>
    <row r="3" spans="1:8" x14ac:dyDescent="0.25">
      <c r="A3" s="100" t="s">
        <v>35</v>
      </c>
      <c r="B3" s="184">
        <f>February!B10</f>
        <v>2458.52</v>
      </c>
      <c r="C3" s="81">
        <f>February!B3</f>
        <v>2458.52</v>
      </c>
      <c r="D3" s="89">
        <f>February!E3</f>
        <v>1330.6900000000003</v>
      </c>
      <c r="E3" s="92">
        <f>February!H16</f>
        <v>0</v>
      </c>
      <c r="F3" s="9">
        <f>February!K16</f>
        <v>600</v>
      </c>
      <c r="G3" s="95">
        <f>February!N31</f>
        <v>479.66999999999996</v>
      </c>
      <c r="H3" s="98">
        <f t="shared" si="0"/>
        <v>48.159999999999741</v>
      </c>
    </row>
    <row r="4" spans="1:8" x14ac:dyDescent="0.25">
      <c r="A4" s="71" t="s">
        <v>36</v>
      </c>
      <c r="B4" s="184">
        <f>March!B10</f>
        <v>2103.09</v>
      </c>
      <c r="C4" s="81">
        <f>March!B20</f>
        <v>3204.72</v>
      </c>
      <c r="D4" s="89">
        <f>March!E50</f>
        <v>1331.68</v>
      </c>
      <c r="E4" s="92">
        <f>March!H20</f>
        <v>0</v>
      </c>
      <c r="F4" s="9">
        <f>March!K3</f>
        <v>-320</v>
      </c>
      <c r="G4" s="95">
        <f>March!N49</f>
        <v>1874.1400000000003</v>
      </c>
      <c r="H4" s="98">
        <f t="shared" si="0"/>
        <v>318.89999999999964</v>
      </c>
    </row>
    <row r="5" spans="1:8" x14ac:dyDescent="0.25">
      <c r="A5" s="101" t="s">
        <v>37</v>
      </c>
      <c r="B5" s="184">
        <f>April!B10</f>
        <v>2109.79</v>
      </c>
      <c r="C5" s="81">
        <f>April!B16</f>
        <v>3566.69</v>
      </c>
      <c r="D5" s="89">
        <f>April!E3</f>
        <v>605.22</v>
      </c>
      <c r="E5" s="92">
        <f>April!H16</f>
        <v>0</v>
      </c>
      <c r="F5" s="9">
        <f>April!K16</f>
        <v>831</v>
      </c>
      <c r="G5" s="95">
        <f>April!N3</f>
        <v>1912.1499999999999</v>
      </c>
      <c r="H5" s="98">
        <f t="shared" si="0"/>
        <v>218.32000000000039</v>
      </c>
    </row>
    <row r="6" spans="1:8" x14ac:dyDescent="0.25">
      <c r="A6" s="102" t="s">
        <v>38</v>
      </c>
      <c r="B6" s="184">
        <f>May!B10</f>
        <v>2141.1799999999998</v>
      </c>
      <c r="C6" s="81">
        <f>May!B22</f>
        <v>3145.58</v>
      </c>
      <c r="D6" s="89">
        <f>May!E3</f>
        <v>499.78000000000003</v>
      </c>
      <c r="E6" s="92">
        <f>May!H22</f>
        <v>0</v>
      </c>
      <c r="F6" s="9">
        <f>May!K19</f>
        <v>100</v>
      </c>
      <c r="G6" s="95">
        <f>May!N49</f>
        <v>1551.3899999999999</v>
      </c>
      <c r="H6" s="98">
        <f t="shared" si="0"/>
        <v>994.40999999999985</v>
      </c>
    </row>
    <row r="7" spans="1:8" x14ac:dyDescent="0.25">
      <c r="A7" s="103" t="s">
        <v>39</v>
      </c>
      <c r="B7" s="184">
        <f>June!B10</f>
        <v>1293.3900000000001</v>
      </c>
      <c r="C7" s="81">
        <f>June!B18</f>
        <v>1805.39</v>
      </c>
      <c r="D7" s="89">
        <f>June!E3</f>
        <v>522.74</v>
      </c>
      <c r="E7" s="92">
        <f>June!H20</f>
        <v>287</v>
      </c>
      <c r="F7" s="9">
        <f>June!K20</f>
        <v>-130</v>
      </c>
      <c r="G7" s="95">
        <f>June!N49</f>
        <v>811.68999999999994</v>
      </c>
      <c r="H7" s="98">
        <f t="shared" si="0"/>
        <v>313.96000000000015</v>
      </c>
    </row>
    <row r="8" spans="1:8" x14ac:dyDescent="0.25">
      <c r="A8" s="14" t="s">
        <v>40</v>
      </c>
      <c r="B8" s="184">
        <f>July!B10</f>
        <v>2094</v>
      </c>
      <c r="C8" s="81">
        <f>July!B16</f>
        <v>2247</v>
      </c>
      <c r="D8" s="89">
        <f>July!E3</f>
        <v>446.95000000000005</v>
      </c>
      <c r="E8" s="92">
        <f>July!H16</f>
        <v>287</v>
      </c>
      <c r="F8" s="9">
        <f>July!K16</f>
        <v>480</v>
      </c>
      <c r="G8" s="95">
        <f>July!N26</f>
        <v>160.11000000000001</v>
      </c>
      <c r="H8" s="98">
        <f t="shared" si="0"/>
        <v>872.93999999999994</v>
      </c>
    </row>
    <row r="9" spans="1:8" x14ac:dyDescent="0.25">
      <c r="A9" s="33" t="s">
        <v>41</v>
      </c>
      <c r="B9" s="184">
        <f>August!B10</f>
        <v>0</v>
      </c>
      <c r="C9" s="81">
        <f>August!B16</f>
        <v>0</v>
      </c>
      <c r="D9" s="89">
        <f>August!E26</f>
        <v>0</v>
      </c>
      <c r="E9" s="92">
        <f>August!H16</f>
        <v>0</v>
      </c>
      <c r="F9" s="9">
        <f>August!K16</f>
        <v>0</v>
      </c>
      <c r="G9" s="95">
        <f>August!N26</f>
        <v>0</v>
      </c>
      <c r="H9" s="98">
        <f t="shared" si="0"/>
        <v>0</v>
      </c>
    </row>
    <row r="10" spans="1:8" x14ac:dyDescent="0.25">
      <c r="A10" s="104" t="s">
        <v>42</v>
      </c>
      <c r="B10" s="184">
        <f>September!B10</f>
        <v>0</v>
      </c>
      <c r="C10" s="81">
        <f>September!B16</f>
        <v>0</v>
      </c>
      <c r="D10" s="89">
        <f>September!E26</f>
        <v>0</v>
      </c>
      <c r="E10" s="92">
        <f>September!H16</f>
        <v>0</v>
      </c>
      <c r="F10" s="9">
        <f>September!K16</f>
        <v>0</v>
      </c>
      <c r="G10" s="95">
        <f>September!N26</f>
        <v>0</v>
      </c>
      <c r="H10" s="98">
        <f t="shared" si="0"/>
        <v>0</v>
      </c>
    </row>
    <row r="11" spans="1:8" x14ac:dyDescent="0.25">
      <c r="A11" s="105" t="s">
        <v>43</v>
      </c>
      <c r="B11" s="184">
        <f>October!B10</f>
        <v>0</v>
      </c>
      <c r="C11" s="81">
        <f>October!B16</f>
        <v>0</v>
      </c>
      <c r="D11" s="89">
        <f>October!E26</f>
        <v>0</v>
      </c>
      <c r="E11" s="92">
        <f>October!H16</f>
        <v>0</v>
      </c>
      <c r="F11" s="9">
        <f>October!K16</f>
        <v>0</v>
      </c>
      <c r="G11" s="95">
        <f>October!N26</f>
        <v>0</v>
      </c>
      <c r="H11" s="98">
        <f t="shared" si="0"/>
        <v>0</v>
      </c>
    </row>
    <row r="12" spans="1:8" x14ac:dyDescent="0.25">
      <c r="A12" s="106" t="s">
        <v>44</v>
      </c>
      <c r="B12" s="184">
        <f>November!B10</f>
        <v>0</v>
      </c>
      <c r="C12" s="81">
        <f>November!B16</f>
        <v>0</v>
      </c>
      <c r="D12" s="89">
        <f>November!E26</f>
        <v>0</v>
      </c>
      <c r="E12" s="92">
        <f>November!H16</f>
        <v>0</v>
      </c>
      <c r="F12" s="9">
        <f>November!K16</f>
        <v>0</v>
      </c>
      <c r="G12" s="95">
        <f>November!N26</f>
        <v>0</v>
      </c>
      <c r="H12" s="98">
        <f t="shared" si="0"/>
        <v>0</v>
      </c>
    </row>
    <row r="13" spans="1:8" x14ac:dyDescent="0.25">
      <c r="A13" s="88" t="s">
        <v>45</v>
      </c>
      <c r="B13" s="184">
        <f>December!B10</f>
        <v>0</v>
      </c>
      <c r="C13" s="81">
        <f>December!B16</f>
        <v>0</v>
      </c>
      <c r="D13" s="89">
        <f>December!E26</f>
        <v>0</v>
      </c>
      <c r="E13" s="92">
        <f>December!H16</f>
        <v>0</v>
      </c>
      <c r="F13" s="9">
        <f>December!K16</f>
        <v>0</v>
      </c>
      <c r="G13" s="95">
        <f>December!N26</f>
        <v>0</v>
      </c>
      <c r="H13" s="98">
        <f t="shared" si="0"/>
        <v>0</v>
      </c>
    </row>
    <row r="14" spans="1:8" x14ac:dyDescent="0.25">
      <c r="A14" s="1" t="s">
        <v>46</v>
      </c>
      <c r="B14" s="184">
        <f>SUM(B2:B13)</f>
        <v>14460.970000000001</v>
      </c>
      <c r="C14" s="82">
        <f t="shared" ref="C14:H14" si="1">SUM(C2:C13)</f>
        <v>18688.900000000001</v>
      </c>
      <c r="D14" s="90">
        <f t="shared" si="1"/>
        <v>5816.26</v>
      </c>
      <c r="E14" s="93">
        <f t="shared" si="1"/>
        <v>574</v>
      </c>
      <c r="F14" s="31">
        <f t="shared" si="1"/>
        <v>2012</v>
      </c>
      <c r="G14" s="96">
        <f t="shared" si="1"/>
        <v>7243.8899999999994</v>
      </c>
      <c r="H14" s="99">
        <f t="shared" si="1"/>
        <v>3042.7499999999995</v>
      </c>
    </row>
    <row r="24" spans="1:15" x14ac:dyDescent="0.25">
      <c r="C24" s="180" t="s">
        <v>236</v>
      </c>
      <c r="D24" s="2"/>
      <c r="E24" s="177" t="s">
        <v>235</v>
      </c>
      <c r="F24" s="2"/>
      <c r="G24" s="174" t="s">
        <v>234</v>
      </c>
      <c r="H24" s="2"/>
      <c r="I24" s="171" t="s">
        <v>233</v>
      </c>
      <c r="J24" s="2"/>
      <c r="K24" s="170" t="s">
        <v>232</v>
      </c>
      <c r="L24" s="2"/>
      <c r="M24" s="168" t="s">
        <v>231</v>
      </c>
    </row>
    <row r="25" spans="1:15" x14ac:dyDescent="0.25">
      <c r="C25" s="180">
        <f>O34</f>
        <v>15604.67</v>
      </c>
      <c r="D25" s="2"/>
      <c r="E25" s="177">
        <f>O40</f>
        <v>0</v>
      </c>
      <c r="F25" s="2"/>
      <c r="G25" s="174">
        <f>O44</f>
        <v>0</v>
      </c>
      <c r="H25" s="2"/>
      <c r="I25" s="171">
        <f>O50</f>
        <v>0</v>
      </c>
      <c r="J25" s="2"/>
      <c r="K25" s="170" t="e">
        <f>#REF!</f>
        <v>#REF!</v>
      </c>
      <c r="L25" s="2"/>
      <c r="M25" s="168">
        <f>O53</f>
        <v>15604.67</v>
      </c>
    </row>
    <row r="29" spans="1:15" x14ac:dyDescent="0.25">
      <c r="A29" s="181" t="s">
        <v>230</v>
      </c>
      <c r="B29" s="181"/>
      <c r="C29" s="183"/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</row>
    <row r="30" spans="1:15" x14ac:dyDescent="0.25">
      <c r="A30" s="181" t="s">
        <v>229</v>
      </c>
      <c r="B30" s="181"/>
      <c r="C30" s="182" t="s">
        <v>228</v>
      </c>
      <c r="D30" s="182" t="s">
        <v>227</v>
      </c>
      <c r="E30" s="182" t="s">
        <v>226</v>
      </c>
      <c r="F30" s="182" t="s">
        <v>225</v>
      </c>
      <c r="G30" s="182" t="s">
        <v>38</v>
      </c>
      <c r="H30" s="182" t="s">
        <v>224</v>
      </c>
      <c r="I30" s="182" t="s">
        <v>223</v>
      </c>
      <c r="J30" s="182" t="s">
        <v>222</v>
      </c>
      <c r="K30" s="182" t="s">
        <v>221</v>
      </c>
      <c r="L30" s="182" t="s">
        <v>220</v>
      </c>
      <c r="M30" s="182" t="s">
        <v>219</v>
      </c>
      <c r="N30" s="182" t="s">
        <v>218</v>
      </c>
      <c r="O30" s="181" t="s">
        <v>217</v>
      </c>
    </row>
    <row r="31" spans="1:15" x14ac:dyDescent="0.25">
      <c r="A31" t="s">
        <v>55</v>
      </c>
      <c r="C31" s="2">
        <f>January!B11</f>
        <v>2261</v>
      </c>
      <c r="D31" s="2">
        <f>February!B10</f>
        <v>2458.52</v>
      </c>
      <c r="E31" s="2">
        <f>March!B10</f>
        <v>2103.09</v>
      </c>
      <c r="F31" s="2">
        <f>April!B10</f>
        <v>2109.79</v>
      </c>
      <c r="G31" s="2">
        <f>May!B10</f>
        <v>2141.1799999999998</v>
      </c>
      <c r="H31" s="2">
        <f>June!B10</f>
        <v>1293.3900000000001</v>
      </c>
      <c r="I31" s="2">
        <f>July!B10</f>
        <v>2094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x14ac:dyDescent="0.25">
      <c r="A32" t="s">
        <v>237</v>
      </c>
      <c r="C32" s="2">
        <v>157.30000000000001</v>
      </c>
      <c r="D32" s="2">
        <v>217.8</v>
      </c>
      <c r="E32" s="2">
        <v>170.8</v>
      </c>
      <c r="F32" s="2">
        <v>146.4</v>
      </c>
      <c r="G32" s="2">
        <v>134.19999999999999</v>
      </c>
      <c r="H32" s="2">
        <v>158.6</v>
      </c>
      <c r="I32" s="2">
        <v>158.6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</row>
    <row r="33" spans="1:15" x14ac:dyDescent="0.25">
      <c r="A33" t="s">
        <v>238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</row>
    <row r="34" spans="1:15" x14ac:dyDescent="0.25">
      <c r="A34" s="181" t="s">
        <v>0</v>
      </c>
      <c r="B34" s="181"/>
      <c r="C34" s="180">
        <f>SUM(C31:C33)</f>
        <v>2418.3000000000002</v>
      </c>
      <c r="D34" s="180">
        <f>SUM(D31:D33)</f>
        <v>2676.32</v>
      </c>
      <c r="E34" s="180">
        <f>SUM(E31:E33)</f>
        <v>2273.8900000000003</v>
      </c>
      <c r="F34" s="180">
        <f>SUM(F31:F33)</f>
        <v>2256.19</v>
      </c>
      <c r="G34" s="180">
        <f>SUM(G31:G33)</f>
        <v>2275.3799999999997</v>
      </c>
      <c r="H34" s="180">
        <f>SUM(H31:H33)</f>
        <v>1451.99</v>
      </c>
      <c r="I34" s="180">
        <f>SUM(I31:I33)</f>
        <v>2252.6</v>
      </c>
      <c r="J34" s="180">
        <f>SUM(J31:J33)</f>
        <v>0</v>
      </c>
      <c r="K34" s="180">
        <f>SUM(K31:K33)</f>
        <v>0</v>
      </c>
      <c r="L34" s="180">
        <f>SUM(L31:L33)</f>
        <v>0</v>
      </c>
      <c r="M34" s="180">
        <f>SUM(M31:M33)</f>
        <v>0</v>
      </c>
      <c r="N34" s="180">
        <f>SUM(N31:N33)</f>
        <v>0</v>
      </c>
      <c r="O34" s="180">
        <f>SUM(C34:N34)</f>
        <v>15604.67</v>
      </c>
    </row>
    <row r="36" spans="1:15" x14ac:dyDescent="0.25">
      <c r="A36" s="178" t="s">
        <v>246</v>
      </c>
      <c r="B36" s="178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</row>
    <row r="37" spans="1:15" x14ac:dyDescent="0.25">
      <c r="A37" t="s">
        <v>241</v>
      </c>
      <c r="C37" s="2">
        <v>157.30000000000001</v>
      </c>
      <c r="D37" s="2">
        <v>217.8</v>
      </c>
      <c r="E37" s="2">
        <v>170.8</v>
      </c>
      <c r="F37" s="2">
        <v>146.4</v>
      </c>
      <c r="G37" s="2">
        <v>134.19999999999999</v>
      </c>
      <c r="H37" s="2">
        <v>158.6</v>
      </c>
      <c r="I37" s="2">
        <v>158.6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</row>
    <row r="38" spans="1:15" x14ac:dyDescent="0.25">
      <c r="A38" t="s">
        <v>242</v>
      </c>
      <c r="C38" s="2">
        <v>1079.2</v>
      </c>
      <c r="D38" s="2">
        <v>1331.68</v>
      </c>
      <c r="E38" s="2">
        <v>605.22</v>
      </c>
      <c r="F38" s="2">
        <v>499.78</v>
      </c>
      <c r="G38" s="2">
        <v>522.74</v>
      </c>
      <c r="H38" s="2">
        <v>446.95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</row>
    <row r="39" spans="1:15" x14ac:dyDescent="0.25">
      <c r="A39" t="s">
        <v>243</v>
      </c>
      <c r="C39" s="2">
        <v>454.74</v>
      </c>
      <c r="D39" s="2">
        <v>479.67</v>
      </c>
      <c r="E39" s="2">
        <v>1874.14</v>
      </c>
      <c r="F39" s="2">
        <v>1912.15</v>
      </c>
      <c r="G39" s="2">
        <v>1551.39</v>
      </c>
      <c r="H39" s="2">
        <v>811.69</v>
      </c>
      <c r="I39" s="2">
        <v>160.11000000000001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15" x14ac:dyDescent="0.25">
      <c r="A40" s="178" t="s">
        <v>1</v>
      </c>
      <c r="B40" s="178"/>
      <c r="C40" s="2">
        <f>SUM(C37:C39)</f>
        <v>1691.24</v>
      </c>
      <c r="D40" s="2">
        <f t="shared" ref="D40:O40" si="2">SUM(D37:D39)</f>
        <v>2029.15</v>
      </c>
      <c r="E40" s="2">
        <f t="shared" si="2"/>
        <v>2650.16</v>
      </c>
      <c r="F40" s="2">
        <f t="shared" si="2"/>
        <v>2558.33</v>
      </c>
      <c r="G40" s="2">
        <f t="shared" si="2"/>
        <v>2208.33</v>
      </c>
      <c r="H40" s="2">
        <f t="shared" si="2"/>
        <v>1417.24</v>
      </c>
      <c r="I40" s="2">
        <f t="shared" si="2"/>
        <v>318.71000000000004</v>
      </c>
      <c r="J40" s="2">
        <f t="shared" si="2"/>
        <v>0</v>
      </c>
      <c r="K40" s="2">
        <f t="shared" si="2"/>
        <v>0</v>
      </c>
      <c r="L40" s="2">
        <f t="shared" si="2"/>
        <v>0</v>
      </c>
      <c r="M40" s="2">
        <f t="shared" si="2"/>
        <v>0</v>
      </c>
      <c r="N40" s="2">
        <f t="shared" si="2"/>
        <v>0</v>
      </c>
      <c r="O40" s="2">
        <f t="shared" si="2"/>
        <v>0</v>
      </c>
    </row>
    <row r="42" spans="1:15" x14ac:dyDescent="0.25">
      <c r="A42" s="175" t="s">
        <v>216</v>
      </c>
      <c r="B42" s="175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</row>
    <row r="43" spans="1:15" ht="19.5" customHeight="1" x14ac:dyDescent="0.25">
      <c r="A43" t="s">
        <v>18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</row>
    <row r="44" spans="1:15" x14ac:dyDescent="0.25">
      <c r="A44" s="175" t="s">
        <v>2</v>
      </c>
      <c r="B44" s="175"/>
      <c r="C44" s="2">
        <f>SUM(C43:C43)</f>
        <v>0</v>
      </c>
      <c r="D44" s="2">
        <f>SUM(D43:D43)</f>
        <v>0</v>
      </c>
      <c r="E44" s="2">
        <f>SUM(E43:E43)</f>
        <v>0</v>
      </c>
      <c r="F44" s="2">
        <f>SUM(F43:F43)</f>
        <v>0</v>
      </c>
      <c r="G44" s="2">
        <f>SUM(G43:G43)</f>
        <v>0</v>
      </c>
      <c r="H44" s="2">
        <f>SUM(H43:H43)</f>
        <v>0</v>
      </c>
      <c r="I44" s="2">
        <f>SUM(I43:I43)</f>
        <v>0</v>
      </c>
      <c r="J44" s="2">
        <f>SUM(J43:J43)</f>
        <v>0</v>
      </c>
      <c r="K44" s="2">
        <f>SUM(K43:K43)</f>
        <v>0</v>
      </c>
      <c r="L44" s="2">
        <f>SUM(L43:L43)</f>
        <v>0</v>
      </c>
      <c r="M44" s="2">
        <f>SUM(M43:M43)</f>
        <v>0</v>
      </c>
      <c r="N44" s="2">
        <f>SUM(N43:N43)</f>
        <v>0</v>
      </c>
      <c r="O44" s="2">
        <f>SUM(O43:O43)</f>
        <v>0</v>
      </c>
    </row>
    <row r="46" spans="1:15" x14ac:dyDescent="0.25">
      <c r="A46" s="172" t="s">
        <v>215</v>
      </c>
      <c r="B46" s="172"/>
      <c r="C46" s="173"/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</row>
    <row r="47" spans="1:15" x14ac:dyDescent="0.25">
      <c r="A47" t="s">
        <v>67</v>
      </c>
      <c r="C47" s="2">
        <v>270</v>
      </c>
      <c r="D47" s="2">
        <v>400</v>
      </c>
      <c r="E47" s="2">
        <v>-500</v>
      </c>
      <c r="F47" s="2">
        <v>100</v>
      </c>
      <c r="G47" s="2">
        <v>-130</v>
      </c>
      <c r="H47" s="2">
        <v>-330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</row>
    <row r="48" spans="1:15" x14ac:dyDescent="0.25">
      <c r="A48" t="s">
        <v>244</v>
      </c>
      <c r="C48" s="2">
        <v>181</v>
      </c>
      <c r="D48" s="2">
        <v>200</v>
      </c>
      <c r="E48" s="2">
        <v>180</v>
      </c>
      <c r="F48" s="2">
        <v>180</v>
      </c>
      <c r="G48" s="2">
        <v>180</v>
      </c>
      <c r="H48" s="2">
        <v>100</v>
      </c>
      <c r="I48" s="2">
        <v>180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15" x14ac:dyDescent="0.25">
      <c r="A49" t="s">
        <v>245</v>
      </c>
      <c r="C49" s="2">
        <v>0</v>
      </c>
      <c r="D49" s="2">
        <v>0</v>
      </c>
      <c r="E49" s="2">
        <v>0</v>
      </c>
      <c r="F49" s="2">
        <v>551</v>
      </c>
      <c r="G49" s="2">
        <v>150</v>
      </c>
      <c r="H49" s="2">
        <v>100</v>
      </c>
      <c r="I49" s="2">
        <v>150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15" x14ac:dyDescent="0.25">
      <c r="A50" s="172" t="s">
        <v>3</v>
      </c>
      <c r="B50" s="172"/>
      <c r="C50" s="2">
        <f>SUM(C47:C49)</f>
        <v>451</v>
      </c>
      <c r="D50" s="2">
        <f t="shared" ref="D50:O50" si="3">SUM(D47:D49)</f>
        <v>600</v>
      </c>
      <c r="E50" s="2">
        <f t="shared" si="3"/>
        <v>-320</v>
      </c>
      <c r="F50" s="2">
        <f t="shared" si="3"/>
        <v>831</v>
      </c>
      <c r="G50" s="2">
        <f t="shared" si="3"/>
        <v>200</v>
      </c>
      <c r="H50" s="2">
        <f t="shared" si="3"/>
        <v>-130</v>
      </c>
      <c r="I50" s="2">
        <f t="shared" si="3"/>
        <v>330</v>
      </c>
      <c r="J50" s="2">
        <f t="shared" si="3"/>
        <v>0</v>
      </c>
      <c r="K50" s="2">
        <f t="shared" si="3"/>
        <v>0</v>
      </c>
      <c r="L50" s="2">
        <f t="shared" si="3"/>
        <v>0</v>
      </c>
      <c r="M50" s="2">
        <f t="shared" si="3"/>
        <v>0</v>
      </c>
      <c r="N50" s="2">
        <f t="shared" si="3"/>
        <v>0</v>
      </c>
      <c r="O50" s="2">
        <f t="shared" si="3"/>
        <v>0</v>
      </c>
    </row>
    <row r="53" spans="1:15" x14ac:dyDescent="0.25">
      <c r="A53" s="169" t="s">
        <v>214</v>
      </c>
      <c r="B53" s="169"/>
      <c r="C53" s="168">
        <f>C34-C40-C44-C50</f>
        <v>276.06000000000017</v>
      </c>
      <c r="D53" s="168">
        <f>D34-D40-D44-D50</f>
        <v>47.170000000000073</v>
      </c>
      <c r="E53" s="168">
        <f>E34-E40-E44-E50</f>
        <v>-56.269999999999527</v>
      </c>
      <c r="F53" s="168">
        <f>F34-F40-F44-F50</f>
        <v>-1133.1399999999999</v>
      </c>
      <c r="G53" s="168">
        <f t="shared" ref="G53:O53" si="4">G34-G40-G44-G50</f>
        <v>-132.95000000000027</v>
      </c>
      <c r="H53" s="168">
        <f t="shared" si="4"/>
        <v>164.75</v>
      </c>
      <c r="I53" s="168">
        <f t="shared" si="4"/>
        <v>1603.8899999999999</v>
      </c>
      <c r="J53" s="168">
        <f t="shared" si="4"/>
        <v>0</v>
      </c>
      <c r="K53" s="168">
        <f t="shared" si="4"/>
        <v>0</v>
      </c>
      <c r="L53" s="168">
        <f t="shared" si="4"/>
        <v>0</v>
      </c>
      <c r="M53" s="168">
        <f t="shared" si="4"/>
        <v>0</v>
      </c>
      <c r="N53" s="168">
        <f t="shared" si="4"/>
        <v>0</v>
      </c>
      <c r="O53" s="168">
        <f t="shared" si="4"/>
        <v>15604.67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Full 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Thibaud Canat</dc:creator>
  <cp:lastModifiedBy>Thibaud Canat</cp:lastModifiedBy>
  <dcterms:created xsi:type="dcterms:W3CDTF">2026-07-01T07:07:36Z</dcterms:created>
  <dcterms:modified xsi:type="dcterms:W3CDTF">2026-07-01T12:43:21Z</dcterms:modified>
</cp:coreProperties>
</file>